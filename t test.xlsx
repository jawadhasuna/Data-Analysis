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em 5\stats\a3\"/>
    </mc:Choice>
  </mc:AlternateContent>
  <bookViews>
    <workbookView xWindow="0" yWindow="0" windowWidth="23040" windowHeight="9288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M2" i="1"/>
  <c r="I2" i="1"/>
  <c r="J3" i="1"/>
  <c r="K2" i="1"/>
  <c r="G2" i="1"/>
  <c r="D2" i="1"/>
  <c r="H2" i="1"/>
  <c r="L2" i="1" l="1"/>
  <c r="K3" i="1" l="1"/>
</calcChain>
</file>

<file path=xl/sharedStrings.xml><?xml version="1.0" encoding="utf-8"?>
<sst xmlns="http://schemas.openxmlformats.org/spreadsheetml/2006/main" count="12" uniqueCount="12">
  <si>
    <t>Student</t>
  </si>
  <si>
    <t>Score</t>
  </si>
  <si>
    <t>mean</t>
  </si>
  <si>
    <t>v</t>
  </si>
  <si>
    <t>s</t>
  </si>
  <si>
    <t>X</t>
  </si>
  <si>
    <t>hypothesis mean</t>
  </si>
  <si>
    <t>t critical val</t>
  </si>
  <si>
    <t>confidence interval(95%)</t>
  </si>
  <si>
    <t>standard error</t>
  </si>
  <si>
    <t>T DIST LFT TAIL</t>
  </si>
  <si>
    <t>T RIGHT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</si>
</sst>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85" zoomScaleNormal="85" workbookViewId="0">
      <selection activeCell="K15" sqref="K15"/>
    </sheetView>
  </sheetViews>
  <sheetFormatPr defaultRowHeight="14.4" x14ac:dyDescent="0.55000000000000004"/>
  <cols>
    <col min="3" max="3" width="1.578125" customWidth="1"/>
    <col min="5" max="5" width="14.3125" customWidth="1"/>
    <col min="9" max="9" width="13.3671875" customWidth="1"/>
    <col min="10" max="10" width="10.5234375" customWidth="1"/>
    <col min="11" max="11" width="20.47265625" customWidth="1"/>
    <col min="12" max="12" width="13.3671875" customWidth="1"/>
    <col min="13" max="13" width="13.3125" customWidth="1"/>
  </cols>
  <sheetData>
    <row r="1" spans="1:13" x14ac:dyDescent="0.55000000000000004">
      <c r="A1" s="2" t="s">
        <v>0</v>
      </c>
      <c r="B1" s="2" t="s">
        <v>1</v>
      </c>
      <c r="C1" s="3"/>
      <c r="D1" s="4" t="s">
        <v>2</v>
      </c>
      <c r="E1" s="4" t="s">
        <v>6</v>
      </c>
      <c r="F1" s="4" t="s">
        <v>3</v>
      </c>
      <c r="G1" s="4" t="s">
        <v>4</v>
      </c>
      <c r="H1" s="4" t="s">
        <v>5</v>
      </c>
      <c r="I1" s="4" t="s">
        <v>10</v>
      </c>
      <c r="J1" s="4" t="s">
        <v>7</v>
      </c>
      <c r="K1" s="4" t="s">
        <v>8</v>
      </c>
      <c r="L1" s="4" t="s">
        <v>9</v>
      </c>
      <c r="M1" s="4" t="s">
        <v>11</v>
      </c>
    </row>
    <row r="2" spans="1:13" x14ac:dyDescent="0.55000000000000004">
      <c r="A2" s="1">
        <v>1</v>
      </c>
      <c r="B2" s="1">
        <v>70</v>
      </c>
      <c r="C2" s="3"/>
      <c r="D2" s="3">
        <f>AVERAGE(B2:B13)</f>
        <v>74.416666666666671</v>
      </c>
      <c r="E2" s="3">
        <v>70</v>
      </c>
      <c r="F2" s="3">
        <v>11</v>
      </c>
      <c r="G2" s="3">
        <f>_xlfn.STDEV.S(B2:B13)</f>
        <v>3.7527767497325675</v>
      </c>
      <c r="H2" s="3">
        <f>(D2-E2)/(G2/SQRT(12))</f>
        <v>4.0769230769230811</v>
      </c>
      <c r="I2" s="3">
        <f>_xlfn.T.DIST(H2,F2,FALSE)</f>
        <v>1.5557666407711743E-3</v>
      </c>
      <c r="J2" s="3">
        <f>_xlfn.T.INV.2T(0.025,11)</f>
        <v>2.5930926825393619</v>
      </c>
      <c r="K2" s="3">
        <f>D2+(J2*L2)</f>
        <v>77.225850406084319</v>
      </c>
      <c r="L2" s="3">
        <f>G2/SQRT(12)</f>
        <v>1.0833333333333335</v>
      </c>
      <c r="M2" s="3">
        <f>_xlfn.T.DIST.RT(H2,11)</f>
        <v>9.148752171743679E-4</v>
      </c>
    </row>
    <row r="3" spans="1:13" x14ac:dyDescent="0.55000000000000004">
      <c r="A3" s="1">
        <v>2</v>
      </c>
      <c r="B3" s="1">
        <v>74</v>
      </c>
      <c r="C3" s="3"/>
      <c r="D3" s="3"/>
      <c r="E3" s="3"/>
      <c r="F3" s="3"/>
      <c r="G3" s="3"/>
      <c r="H3" s="3"/>
      <c r="I3" s="3"/>
      <c r="J3" s="3">
        <f>-_xlfn.T.INV.2T(0.025,11)</f>
        <v>-2.5930926825393619</v>
      </c>
      <c r="K3" s="3">
        <f>D2-(J2*L2)</f>
        <v>71.607482927249023</v>
      </c>
      <c r="L3" s="3"/>
      <c r="M3" s="3"/>
    </row>
    <row r="4" spans="1:13" x14ac:dyDescent="0.55000000000000004">
      <c r="A4" s="1">
        <v>3</v>
      </c>
      <c r="B4" s="1">
        <v>72</v>
      </c>
      <c r="C4" s="3"/>
      <c r="D4" s="3"/>
      <c r="E4" s="3"/>
      <c r="F4" s="3"/>
      <c r="G4" s="3"/>
      <c r="H4" s="3"/>
      <c r="I4" s="3"/>
    </row>
    <row r="5" spans="1:13" x14ac:dyDescent="0.55000000000000004">
      <c r="A5" s="1">
        <v>4</v>
      </c>
      <c r="B5" s="1">
        <v>68</v>
      </c>
      <c r="C5" s="3"/>
      <c r="D5" s="3"/>
      <c r="E5" s="3"/>
      <c r="F5" s="3"/>
      <c r="G5" s="3"/>
      <c r="H5" s="3"/>
      <c r="I5" s="3"/>
    </row>
    <row r="6" spans="1:13" x14ac:dyDescent="0.55000000000000004">
      <c r="A6" s="1">
        <v>5</v>
      </c>
      <c r="B6" s="1">
        <v>77</v>
      </c>
      <c r="C6" s="3"/>
      <c r="D6" s="3"/>
      <c r="E6" s="3"/>
      <c r="F6" s="3"/>
      <c r="G6" s="3"/>
      <c r="H6" s="3"/>
      <c r="I6" s="3"/>
    </row>
    <row r="7" spans="1:13" x14ac:dyDescent="0.55000000000000004">
      <c r="A7" s="1">
        <v>6</v>
      </c>
      <c r="B7" s="1">
        <v>80</v>
      </c>
      <c r="C7" s="3"/>
      <c r="D7" s="3"/>
      <c r="E7" s="3"/>
      <c r="F7" s="3"/>
      <c r="G7" s="3"/>
      <c r="H7" s="3"/>
      <c r="I7" s="3"/>
    </row>
    <row r="8" spans="1:13" x14ac:dyDescent="0.55000000000000004">
      <c r="A8" s="1">
        <v>7</v>
      </c>
      <c r="B8" s="1">
        <v>75</v>
      </c>
      <c r="C8" s="3"/>
      <c r="D8" s="3"/>
      <c r="E8" s="3"/>
      <c r="F8" s="3"/>
      <c r="G8" s="3"/>
      <c r="H8" s="3"/>
      <c r="I8" s="3"/>
    </row>
    <row r="9" spans="1:13" x14ac:dyDescent="0.55000000000000004">
      <c r="A9" s="1">
        <v>8</v>
      </c>
      <c r="B9" s="1">
        <v>73</v>
      </c>
      <c r="C9" s="3"/>
      <c r="D9" s="3"/>
      <c r="E9" s="3"/>
      <c r="F9" s="3"/>
      <c r="G9" s="3"/>
      <c r="H9" s="3"/>
      <c r="I9" s="3"/>
    </row>
    <row r="10" spans="1:13" x14ac:dyDescent="0.55000000000000004">
      <c r="A10" s="1">
        <v>9</v>
      </c>
      <c r="B10" s="1">
        <v>78</v>
      </c>
      <c r="C10" s="3"/>
      <c r="D10" s="3"/>
      <c r="E10" s="3"/>
      <c r="F10" s="3"/>
      <c r="G10" s="3"/>
      <c r="I10" s="3"/>
    </row>
    <row r="11" spans="1:13" x14ac:dyDescent="0.55000000000000004">
      <c r="A11" s="1">
        <v>10</v>
      </c>
      <c r="B11" s="1">
        <v>76</v>
      </c>
      <c r="C11" s="3"/>
      <c r="D11" s="3"/>
      <c r="E11" s="3"/>
      <c r="F11" s="3"/>
      <c r="G11" s="3"/>
      <c r="H11" s="3"/>
      <c r="I11" s="3"/>
    </row>
    <row r="12" spans="1:13" x14ac:dyDescent="0.55000000000000004">
      <c r="A12" s="1">
        <v>11</v>
      </c>
      <c r="B12" s="1">
        <v>71</v>
      </c>
      <c r="C12" s="3"/>
      <c r="D12" s="3"/>
      <c r="E12" s="3"/>
      <c r="F12" s="3"/>
      <c r="G12" s="3"/>
      <c r="H12" s="3"/>
      <c r="I12" s="3"/>
    </row>
    <row r="13" spans="1:13" x14ac:dyDescent="0.55000000000000004">
      <c r="A13" s="1">
        <v>12</v>
      </c>
      <c r="B13" s="1">
        <v>79</v>
      </c>
      <c r="C13" s="3"/>
      <c r="D13" s="3"/>
      <c r="E13" s="3"/>
      <c r="F13" s="3"/>
      <c r="G13" s="3"/>
      <c r="H13" s="3"/>
      <c r="I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2025-10-24T09:39:36Z</dcterms:created>
  <dcterms:modified xsi:type="dcterms:W3CDTF">2025-10-26T06:29:54Z</dcterms:modified>
</cp:coreProperties>
</file>