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sem 5\stats\a1\"/>
    </mc:Choice>
  </mc:AlternateContent>
  <bookViews>
    <workbookView xWindow="0" yWindow="0" windowWidth="17268" windowHeight="5910" activeTab="6"/>
  </bookViews>
  <sheets>
    <sheet name="main" sheetId="2" r:id="rId1"/>
    <sheet name="Sayfa1" sheetId="1" r:id="rId2"/>
    <sheet name="Sayfa2" sheetId="3" r:id="rId3"/>
    <sheet name="Sayfa3" sheetId="4" r:id="rId4"/>
    <sheet name="Sayfa4" sheetId="5" r:id="rId5"/>
    <sheet name="Sayfa5" sheetId="6" r:id="rId6"/>
    <sheet name="Sayfa6" sheetId="7" r:id="rId7"/>
  </sheets>
  <definedNames>
    <definedName name="_xlchart.0" hidden="1">Sayfa1!$Z$2:$Z$21</definedName>
    <definedName name="_xlchart.1" hidden="1">Sayfa1!$D$2:$D$21</definedName>
    <definedName name="_xlchart.10" hidden="1">Sayfa6!$Z$1</definedName>
    <definedName name="_xlchart.11" hidden="1">Sayfa6!$Z$2:$Z$21</definedName>
    <definedName name="_xlchart.12" hidden="1">Sayfa6!$D$1</definedName>
    <definedName name="_xlchart.13" hidden="1">Sayfa6!$D$2:$D$21</definedName>
    <definedName name="_xlchart.2" hidden="1">Sayfa1!$D$2:$D$21</definedName>
    <definedName name="_xlchart.3" hidden="1">Sayfa3!$D$2:$D$21</definedName>
    <definedName name="_xlchart.4" hidden="1">Sayfa4!$D$2:$D$21</definedName>
    <definedName name="_xlchart.5" hidden="1">Sayfa4!$C$22</definedName>
    <definedName name="_xlchart.6" hidden="1">Sayfa4!$D$22:$Z$22</definedName>
    <definedName name="_xlchart.7" hidden="1">Sayfa5!$D$2:$D$21</definedName>
    <definedName name="_xlchart.8" hidden="1">Sayfa6!$Z$1</definedName>
    <definedName name="_xlchart.9" hidden="1">Sayfa6!$Z$2:$Z$21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5" i="7" l="1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D23" i="6"/>
  <c r="D22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3" i="5"/>
  <c r="D22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4" i="4"/>
  <c r="D23" i="4"/>
  <c r="D22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3" i="1"/>
  <c r="D22" i="3"/>
  <c r="D25" i="1"/>
  <c r="D24" i="1"/>
  <c r="Z25" i="1"/>
  <c r="Z24" i="1"/>
  <c r="X23" i="1"/>
  <c r="I23" i="1"/>
  <c r="E23" i="1"/>
  <c r="F23" i="1"/>
  <c r="G23" i="1"/>
  <c r="H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Y23" i="1"/>
  <c r="Z23" i="1"/>
  <c r="E25" i="1" l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L24" i="1"/>
  <c r="E24" i="1"/>
  <c r="F24" i="1"/>
  <c r="G24" i="1"/>
  <c r="H24" i="1"/>
  <c r="I24" i="1"/>
  <c r="J24" i="1"/>
  <c r="K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2" i="1"/>
  <c r="P22" i="1"/>
  <c r="G22" i="1"/>
  <c r="F22" i="1"/>
  <c r="E22" i="1"/>
  <c r="H22" i="1"/>
  <c r="I22" i="1"/>
  <c r="J22" i="1"/>
  <c r="K22" i="1"/>
  <c r="L22" i="1"/>
  <c r="M22" i="1"/>
  <c r="N22" i="1"/>
  <c r="O22" i="1"/>
  <c r="Q22" i="1"/>
  <c r="R22" i="1"/>
  <c r="S22" i="1"/>
  <c r="T22" i="1"/>
  <c r="U22" i="1"/>
  <c r="V22" i="1"/>
  <c r="W22" i="1"/>
  <c r="X22" i="1"/>
  <c r="Y22" i="1"/>
  <c r="D22" i="1"/>
  <c r="Y22" i="3" l="1"/>
  <c r="Y21" i="3" l="1"/>
  <c r="Y19" i="3"/>
  <c r="Y9" i="3"/>
  <c r="Y8" i="3"/>
  <c r="Y7" i="3"/>
  <c r="Y6" i="3"/>
  <c r="Y10" i="3"/>
  <c r="Y11" i="3"/>
  <c r="Y12" i="3"/>
  <c r="Y13" i="3"/>
  <c r="Y14" i="3"/>
  <c r="Y15" i="3"/>
  <c r="Y16" i="3"/>
  <c r="Y17" i="3"/>
  <c r="Y18" i="3"/>
  <c r="Y20" i="3"/>
  <c r="Y5" i="3"/>
  <c r="Y4" i="3"/>
  <c r="Y3" i="3"/>
  <c r="Y2" i="3"/>
  <c r="V22" i="3"/>
  <c r="Q22" i="3"/>
  <c r="P22" i="3"/>
  <c r="O22" i="3"/>
  <c r="R22" i="3"/>
  <c r="S22" i="3"/>
  <c r="T22" i="3"/>
  <c r="U22" i="3"/>
  <c r="W22" i="3"/>
  <c r="X22" i="3"/>
  <c r="N22" i="3"/>
  <c r="M22" i="3"/>
  <c r="L22" i="3"/>
  <c r="K22" i="3"/>
  <c r="J22" i="3"/>
  <c r="I22" i="3"/>
  <c r="H22" i="3"/>
  <c r="G22" i="3"/>
  <c r="F22" i="3"/>
  <c r="E22" i="3"/>
</calcChain>
</file>

<file path=xl/sharedStrings.xml><?xml version="1.0" encoding="utf-8"?>
<sst xmlns="http://schemas.openxmlformats.org/spreadsheetml/2006/main" count="549" uniqueCount="85">
  <si>
    <t>Australia</t>
  </si>
  <si>
    <t>AUS</t>
  </si>
  <si>
    <t>GNI per capita, PPP (current international $)</t>
  </si>
  <si>
    <t>Country Name</t>
  </si>
  <si>
    <t>Country Code</t>
  </si>
  <si>
    <t>Indicator Name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</si>
  <si>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</si>
  <si>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</si>
  <si>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</si>
  <si>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</si>
  <si>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</si>
  <si>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</si>
  <si>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</si>
  <si>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</si>
  <si>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</si>
  <si>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</si>
  <si>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</si>
  <si>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</si>
  <si>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</si>
  <si>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</si>
  <si>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</si>
  <si>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</si>
  <si>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</si>
  <si>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</si>
  <si>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</si>
  <si>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</si>
  <si>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</si>
  <si>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</si>
  <si>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</si>
  <si>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Argentina</t>
  </si>
  <si>
    <t>ARG</t>
  </si>
  <si>
    <t>Brazil</t>
  </si>
  <si>
    <t>BRA</t>
  </si>
  <si>
    <t>China</t>
  </si>
  <si>
    <t>CHN</t>
  </si>
  <si>
    <t>France</t>
  </si>
  <si>
    <t>FRA</t>
  </si>
  <si>
    <t>Canada</t>
  </si>
  <si>
    <t>CAN</t>
  </si>
  <si>
    <t>Italy</t>
  </si>
  <si>
    <t>ITA</t>
  </si>
  <si>
    <t>United Kingdom</t>
  </si>
  <si>
    <t>GBR</t>
  </si>
  <si>
    <t>Japan</t>
  </si>
  <si>
    <t>JPN</t>
  </si>
  <si>
    <t>Mexico</t>
  </si>
  <si>
    <t>MEX</t>
  </si>
  <si>
    <t>Russian Federation</t>
  </si>
  <si>
    <t>RUS</t>
  </si>
  <si>
    <t>India</t>
  </si>
  <si>
    <t>IND</t>
  </si>
  <si>
    <t>Indonesia</t>
  </si>
  <si>
    <t>IDN</t>
  </si>
  <si>
    <t>Germany</t>
  </si>
  <si>
    <t>DEU</t>
  </si>
  <si>
    <t>United States</t>
  </si>
  <si>
    <t>USA</t>
  </si>
  <si>
    <t>South Africa</t>
  </si>
  <si>
    <t>ZAF</t>
  </si>
  <si>
    <t>Turkiye</t>
  </si>
  <si>
    <t>TUR</t>
  </si>
  <si>
    <t>Saudi Arabia</t>
  </si>
  <si>
    <t>SAU</t>
  </si>
  <si>
    <t>European Union</t>
  </si>
  <si>
    <t>EUU</t>
  </si>
  <si>
    <t>Korea, Rep.</t>
  </si>
  <si>
    <t>KOR</t>
  </si>
  <si>
    <t>Sayfa1</t>
  </si>
  <si>
    <t>Sayfa2</t>
  </si>
  <si>
    <t>Sayfa3</t>
  </si>
  <si>
    <t>Sayfa4</t>
  </si>
  <si>
    <t>Sayfa5</t>
  </si>
  <si>
    <t>Sayfa6</t>
  </si>
  <si>
    <t>CO2 emissions (metric tons per capita)</t>
  </si>
  <si>
    <t>GDP (current US$)</t>
  </si>
  <si>
    <t>GDP growth (annual %)</t>
  </si>
  <si>
    <t>Inflation, GDP deflator (annual %)</t>
  </si>
  <si>
    <t>Foreign direct investment, net inflows (BoP, current US$)</t>
  </si>
  <si>
    <t>mean of each year of all countries:</t>
  </si>
  <si>
    <t>mean of each country from 2000-2020</t>
  </si>
  <si>
    <t>Mean of all countries in a year:</t>
  </si>
  <si>
    <t>Median of all countries in a year:</t>
  </si>
  <si>
    <t>Standard Dev of all countries in a year:</t>
  </si>
  <si>
    <t>Variance of all countries in a year: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</si>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</sst>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6" borderId="3" xfId="2" applyFont="1" applyFill="1" applyBorder="1"/>
    <xf numFmtId="0" fontId="5" fillId="6" borderId="4" xfId="2" applyFont="1" applyFill="1" applyBorder="1"/>
    <xf numFmtId="0" fontId="5" fillId="6" borderId="5" xfId="2" applyFont="1" applyFill="1" applyBorder="1"/>
    <xf numFmtId="0" fontId="5" fillId="6" borderId="6" xfId="2" applyFont="1" applyFill="1" applyBorder="1"/>
    <xf numFmtId="0" fontId="4" fillId="5" borderId="7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3" borderId="0" xfId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5" fillId="6" borderId="18" xfId="2" applyFont="1" applyFill="1" applyBorder="1"/>
    <xf numFmtId="0" fontId="5" fillId="6" borderId="19" xfId="2" applyFont="1" applyFill="1" applyBorder="1"/>
    <xf numFmtId="0" fontId="2" fillId="3" borderId="8" xfId="1" applyBorder="1" applyAlignment="1">
      <alignment horizontal="center"/>
    </xf>
    <xf numFmtId="0" fontId="6" fillId="3" borderId="20" xfId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4" fillId="6" borderId="28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7" borderId="21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0" fillId="0" borderId="23" xfId="0" applyBorder="1"/>
    <xf numFmtId="0" fontId="0" fillId="0" borderId="0" xfId="0" applyBorder="1"/>
    <xf numFmtId="0" fontId="0" fillId="0" borderId="25" xfId="0" applyBorder="1"/>
    <xf numFmtId="0" fontId="0" fillId="0" borderId="26" xfId="0" applyBorder="1"/>
    <xf numFmtId="0" fontId="4" fillId="10" borderId="29" xfId="0" applyFont="1" applyFill="1" applyBorder="1" applyAlignment="1">
      <alignment horizontal="center"/>
    </xf>
    <xf numFmtId="0" fontId="4" fillId="13" borderId="30" xfId="0" applyFont="1" applyFill="1" applyBorder="1" applyAlignment="1">
      <alignment horizontal="center"/>
    </xf>
    <xf numFmtId="0" fontId="4" fillId="11" borderId="30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0" fillId="10" borderId="1" xfId="0" applyFill="1" applyBorder="1"/>
    <xf numFmtId="0" fontId="0" fillId="13" borderId="1" xfId="0" applyFill="1" applyBorder="1"/>
    <xf numFmtId="0" fontId="0" fillId="11" borderId="1" xfId="0" applyFill="1" applyBorder="1"/>
    <xf numFmtId="0" fontId="0" fillId="8" borderId="1" xfId="0" applyFill="1" applyBorder="1"/>
    <xf numFmtId="0" fontId="4" fillId="2" borderId="28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0" fillId="9" borderId="17" xfId="0" applyNumberFormat="1" applyFill="1" applyBorder="1" applyAlignment="1">
      <alignment horizontal="center"/>
    </xf>
    <xf numFmtId="3" fontId="0" fillId="9" borderId="22" xfId="0" applyNumberFormat="1" applyFill="1" applyBorder="1" applyAlignment="1">
      <alignment horizontal="center"/>
    </xf>
    <xf numFmtId="3" fontId="0" fillId="9" borderId="0" xfId="0" applyNumberFormat="1" applyFill="1" applyBorder="1" applyAlignment="1">
      <alignment horizontal="center"/>
    </xf>
    <xf numFmtId="3" fontId="0" fillId="9" borderId="24" xfId="0" applyNumberFormat="1" applyFill="1" applyBorder="1" applyAlignment="1">
      <alignment horizontal="center"/>
    </xf>
    <xf numFmtId="3" fontId="0" fillId="9" borderId="26" xfId="0" applyNumberFormat="1" applyFill="1" applyBorder="1" applyAlignment="1">
      <alignment horizontal="center"/>
    </xf>
    <xf numFmtId="3" fontId="0" fillId="9" borderId="27" xfId="0" applyNumberFormat="1" applyFill="1" applyBorder="1" applyAlignment="1">
      <alignment horizontal="center"/>
    </xf>
    <xf numFmtId="0" fontId="4" fillId="10" borderId="21" xfId="0" applyFont="1" applyFill="1" applyBorder="1" applyAlignment="1">
      <alignment horizontal="center"/>
    </xf>
    <xf numFmtId="0" fontId="4" fillId="10" borderId="23" xfId="0" applyFont="1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10" borderId="0" xfId="0" applyFont="1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11" borderId="27" xfId="0" applyFill="1" applyBorder="1" applyAlignment="1">
      <alignment horizontal="center"/>
    </xf>
    <xf numFmtId="0" fontId="4" fillId="10" borderId="28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17" xfId="0" applyFont="1" applyFill="1" applyBorder="1" applyAlignment="1">
      <alignment horizontal="center"/>
    </xf>
    <xf numFmtId="0" fontId="0" fillId="10" borderId="22" xfId="0" applyFont="1" applyFill="1" applyBorder="1" applyAlignment="1">
      <alignment horizontal="center"/>
    </xf>
    <xf numFmtId="0" fontId="0" fillId="10" borderId="24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3" fontId="0" fillId="10" borderId="1" xfId="0" applyNumberFormat="1" applyFill="1" applyBorder="1"/>
    <xf numFmtId="3" fontId="0" fillId="13" borderId="1" xfId="0" applyNumberFormat="1" applyFill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2000 GNI </a:t>
            </a:r>
          </a:p>
        </cx:rich>
      </cx:tx>
    </cx:title>
    <cx:plotArea>
      <cx:plotAreaRegion>
        <cx:series layoutId="clusteredColumn" uniqueId="{756D4EC3-1C17-4359-9164-DEC7F7AF3FD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2022 GNI</a:t>
            </a:r>
          </a:p>
        </cx:rich>
      </cx:tx>
    </cx:title>
    <cx:plotArea>
      <cx:plotAreaRegion>
        <cx:series layoutId="clusteredColumn" uniqueId="{3D0548CB-30CB-4055-8ADB-8C78A3F99B6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C02 emission average over the years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Sayfa2!$D$22:$X$22</c:f>
              <c:numCache>
                <c:formatCode>General</c:formatCode>
                <c:ptCount val="21"/>
                <c:pt idx="0">
                  <c:v>8.0215985983475662</c:v>
                </c:pt>
                <c:pt idx="1">
                  <c:v>8.0315309585870391</c:v>
                </c:pt>
                <c:pt idx="2">
                  <c:v>8.0510764803281312</c:v>
                </c:pt>
                <c:pt idx="3">
                  <c:v>8.2067408473223526</c:v>
                </c:pt>
                <c:pt idx="4">
                  <c:v>8.3184506589116012</c:v>
                </c:pt>
                <c:pt idx="5">
                  <c:v>8.3503028680157261</c:v>
                </c:pt>
                <c:pt idx="6">
                  <c:v>8.3763967677871882</c:v>
                </c:pt>
                <c:pt idx="7">
                  <c:v>8.4859042519706751</c:v>
                </c:pt>
                <c:pt idx="8">
                  <c:v>8.4076312174375065</c:v>
                </c:pt>
                <c:pt idx="9">
                  <c:v>8.0375408720492381</c:v>
                </c:pt>
                <c:pt idx="10">
                  <c:v>8.3428092222223889</c:v>
                </c:pt>
                <c:pt idx="11">
                  <c:v>8.3572657188842463</c:v>
                </c:pt>
                <c:pt idx="12">
                  <c:v>8.361868996516808</c:v>
                </c:pt>
                <c:pt idx="13">
                  <c:v>8.3001627116996364</c:v>
                </c:pt>
                <c:pt idx="14">
                  <c:v>8.1617086215821537</c:v>
                </c:pt>
                <c:pt idx="15">
                  <c:v>8.1143065372528369</c:v>
                </c:pt>
                <c:pt idx="16">
                  <c:v>8.0276069305897906</c:v>
                </c:pt>
                <c:pt idx="17">
                  <c:v>7.997199202787117</c:v>
                </c:pt>
                <c:pt idx="18">
                  <c:v>7.9214142149724411</c:v>
                </c:pt>
                <c:pt idx="19">
                  <c:v>7.7335617911519394</c:v>
                </c:pt>
                <c:pt idx="20">
                  <c:v>7.1671726022854969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A3-4777-9A7C-65C3F19C8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692719"/>
        <c:axId val="1041691471"/>
      </c:lineChart>
      <c:catAx>
        <c:axId val="104169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691471"/>
        <c:crosses val="autoZero"/>
        <c:auto val="1"/>
        <c:lblAlgn val="ctr"/>
        <c:lblOffset val="100"/>
        <c:noMultiLvlLbl val="0"/>
      </c:catAx>
      <c:valAx>
        <c:axId val="104169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69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="1" i="0" u="none" strike="noStrike" kern="1200" cap="all" spc="100" baseline="0">
                <a:solidFill>
                  <a:sysClr val="window" lastClr="FFFFFF">
                    <a:lumMod val="95000"/>
                  </a:sysClr>
                </a:solidFill>
                <a:effectLst/>
                <a:latin typeface="Calibri" panose="020F0502020204030204"/>
              </a:rPr>
              <a:t>2000 GDP </a:t>
            </a:r>
            <a:endParaRPr lang="en-US">
              <a:effectLst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/>
          </a:p>
        </cx:rich>
      </cx:tx>
    </cx:title>
    <cx:plotArea>
      <cx:plotAreaRegion>
        <cx:series layoutId="clusteredColumn" uniqueId="{D46F3C51-AD1F-40DB-AE39-A859884D07E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_xlchart.6</cx:f>
      </cx:numDim>
    </cx:data>
  </cx:chartData>
  <cx:chart>
    <cx:title pos="t" align="ctr" overlay="0"/>
    <cx:plotArea>
      <cx:plotAreaRegion>
        <cx:series layoutId="clusteredColumn" uniqueId="{E0D8211A-6848-4980-8FB2-3B70E8C8B5B6}">
          <cx:tx>
            <cx:txData>
              <cx:f>_xlchart.5</cx:f>
              <cx:v>Mean of all countries in a year: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5B3E753F-A6D4-4DD6-8434-DDF58A47322E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of all countries in all year: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Sayfa5!$C$22</c:f>
              <c:strCache>
                <c:ptCount val="1"/>
                <c:pt idx="0">
                  <c:v>Mean of all countries in a year: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Sayfa5!$D$22:$Z$22</c:f>
              <c:numCache>
                <c:formatCode>General</c:formatCode>
                <c:ptCount val="23"/>
                <c:pt idx="0" formatCode="#,##0">
                  <c:v>8.3445648482420189</c:v>
                </c:pt>
                <c:pt idx="1">
                  <c:v>6.556873459587587</c:v>
                </c:pt>
                <c:pt idx="2">
                  <c:v>7.3608251481218305</c:v>
                </c:pt>
                <c:pt idx="3">
                  <c:v>5.3722699329016059</c:v>
                </c:pt>
                <c:pt idx="4">
                  <c:v>6.3580392660047469</c:v>
                </c:pt>
                <c:pt idx="5">
                  <c:v>5.9679259712987482</c:v>
                </c:pt>
                <c:pt idx="6">
                  <c:v>5.7610152463572222</c:v>
                </c:pt>
                <c:pt idx="7">
                  <c:v>5.7454685323468038</c:v>
                </c:pt>
                <c:pt idx="8">
                  <c:v>7.6856716617077723</c:v>
                </c:pt>
                <c:pt idx="9">
                  <c:v>2.8434326874499489</c:v>
                </c:pt>
                <c:pt idx="10">
                  <c:v>6.0813313591964997</c:v>
                </c:pt>
                <c:pt idx="11">
                  <c:v>6.7096962861558378</c:v>
                </c:pt>
                <c:pt idx="12">
                  <c:v>4.3319548194103845</c:v>
                </c:pt>
                <c:pt idx="13">
                  <c:v>3.699750268542592</c:v>
                </c:pt>
                <c:pt idx="14">
                  <c:v>4.6890450345581209</c:v>
                </c:pt>
                <c:pt idx="15">
                  <c:v>2.9108537286288971</c:v>
                </c:pt>
                <c:pt idx="16">
                  <c:v>4.3393853642090692</c:v>
                </c:pt>
                <c:pt idx="17">
                  <c:v>4.7159773660698487</c:v>
                </c:pt>
                <c:pt idx="18">
                  <c:v>6.153658288214217</c:v>
                </c:pt>
                <c:pt idx="19">
                  <c:v>4.9167248522058573</c:v>
                </c:pt>
                <c:pt idx="20">
                  <c:v>4.4508447987557833</c:v>
                </c:pt>
                <c:pt idx="21">
                  <c:v>9.1699887826539221</c:v>
                </c:pt>
                <c:pt idx="22">
                  <c:v>14.202947093723239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3-4BAB-AD78-E32DEC72A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135135"/>
        <c:axId val="1295132223"/>
      </c:lineChart>
      <c:catAx>
        <c:axId val="1295135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32223"/>
        <c:crosses val="autoZero"/>
        <c:auto val="1"/>
        <c:lblAlgn val="ctr"/>
        <c:lblOffset val="100"/>
        <c:noMultiLvlLbl val="0"/>
      </c:catAx>
      <c:valAx>
        <c:axId val="129513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3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2022 FDI</a:t>
            </a:r>
          </a:p>
        </cx:rich>
      </cx:tx>
    </cx:title>
    <cx:plotArea>
      <cx:plotAreaRegion>
        <cx:series layoutId="clusteredColumn" uniqueId="{8C75F453-02CE-4C14-9E7D-8C0927A058C8}">
          <cx:tx>
            <cx:txData>
              <cx:f>_xlchart.12</cx:f>
              <cx:v>2000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baseline="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/>
  </cs:dataLabel>
  <cs:dataLabelCallout>
    <cs:lnRef idx="0">
      <cs:styleClr val="auto"/>
    </cs:lnRef>
    <cs:fillRef idx="0"/>
    <cs:effectRef idx="0"/>
    <cs:fontRef idx="minor">
      <a:schemeClr val="lt1"/>
    </cs:fontRef>
    <cs:spPr>
      <a:solidFill>
        <a:schemeClr val="lt1"/>
      </a:solidFill>
      <a:ln>
        <a:solidFill>
          <a:schemeClr val="phClr"/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  <cs:spPr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baseline="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/>
  </cs:dataLabel>
  <cs:dataLabelCallout>
    <cs:lnRef idx="0">
      <cs:styleClr val="auto"/>
    </cs:lnRef>
    <cs:fillRef idx="0"/>
    <cs:effectRef idx="0"/>
    <cs:fontRef idx="minor">
      <a:schemeClr val="lt1"/>
    </cs:fontRef>
    <cs:spPr>
      <a:solidFill>
        <a:schemeClr val="lt1"/>
      </a:solidFill>
      <a:ln>
        <a:solidFill>
          <a:schemeClr val="phClr"/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  <cs:spPr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603851</xdr:colOff>
      <xdr:row>26</xdr:row>
      <xdr:rowOff>107830</xdr:rowOff>
    </xdr:from>
    <xdr:to>
      <xdr:col>12</xdr:col>
      <xdr:colOff>459853</xdr:colOff>
      <xdr:row>52</xdr:row>
      <xdr:rowOff>151715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557283</xdr:colOff>
      <xdr:row>26</xdr:row>
      <xdr:rowOff>130790</xdr:rowOff>
    </xdr:from>
    <xdr:to>
      <xdr:col>20</xdr:col>
      <xdr:colOff>815162</xdr:colOff>
      <xdr:row>55</xdr:row>
      <xdr:rowOff>132906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Char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446314</xdr:colOff>
      <xdr:row>25</xdr:row>
      <xdr:rowOff>78920</xdr:rowOff>
    </xdr:from>
    <xdr:to>
      <xdr:col>16</xdr:col>
      <xdr:colOff>277586</xdr:colOff>
      <xdr:row>45</xdr:row>
      <xdr:rowOff>27213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283882</xdr:colOff>
      <xdr:row>26</xdr:row>
      <xdr:rowOff>163604</xdr:rowOff>
    </xdr:from>
    <xdr:to>
      <xdr:col>7</xdr:col>
      <xdr:colOff>119529</xdr:colOff>
      <xdr:row>59</xdr:row>
      <xdr:rowOff>7469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72259</xdr:colOff>
      <xdr:row>29</xdr:row>
      <xdr:rowOff>50580</xdr:rowOff>
    </xdr:from>
    <xdr:to>
      <xdr:col>15</xdr:col>
      <xdr:colOff>236483</xdr:colOff>
      <xdr:row>51</xdr:row>
      <xdr:rowOff>91964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587643</xdr:colOff>
      <xdr:row>28</xdr:row>
      <xdr:rowOff>32934</xdr:rowOff>
    </xdr:from>
    <xdr:to>
      <xdr:col>16</xdr:col>
      <xdr:colOff>380999</xdr:colOff>
      <xdr:row>55</xdr:row>
      <xdr:rowOff>38746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622299</xdr:colOff>
      <xdr:row>26</xdr:row>
      <xdr:rowOff>161924</xdr:rowOff>
    </xdr:from>
    <xdr:to>
      <xdr:col>18</xdr:col>
      <xdr:colOff>66674</xdr:colOff>
      <xdr:row>68</xdr:row>
      <xdr:rowOff>66675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9" sqref="C19"/>
    </sheetView>
  </sheetViews>
  <sheetFormatPr defaultRowHeight="14.4" x14ac:dyDescent="0.55000000000000004"/>
  <cols>
    <col min="2" max="2" width="52.68359375" bestFit="1" customWidth="1"/>
  </cols>
  <sheetData>
    <row r="1" spans="1:2" x14ac:dyDescent="0.55000000000000004">
      <c r="A1" t="s">
        <v>67</v>
      </c>
      <c r="B1" t="s">
        <v>2</v>
      </c>
    </row>
    <row r="2" spans="1:2" x14ac:dyDescent="0.55000000000000004">
      <c r="A2" t="s">
        <v>68</v>
      </c>
      <c r="B2" t="s">
        <v>73</v>
      </c>
    </row>
    <row r="3" spans="1:2" x14ac:dyDescent="0.55000000000000004">
      <c r="A3" t="s">
        <v>69</v>
      </c>
      <c r="B3" t="s">
        <v>74</v>
      </c>
    </row>
    <row r="4" spans="1:2" x14ac:dyDescent="0.55000000000000004">
      <c r="A4" t="s">
        <v>70</v>
      </c>
      <c r="B4" t="s">
        <v>75</v>
      </c>
    </row>
    <row r="5" spans="1:2" x14ac:dyDescent="0.55000000000000004">
      <c r="A5" t="s">
        <v>71</v>
      </c>
      <c r="B5" t="s">
        <v>76</v>
      </c>
    </row>
    <row r="6" spans="1:2" x14ac:dyDescent="0.55000000000000004">
      <c r="A6" t="s">
        <v>72</v>
      </c>
      <c r="B6" t="s">
        <v>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topLeftCell="D1" zoomScale="55" zoomScaleNormal="55" workbookViewId="0">
      <selection activeCell="C22" sqref="C22:Z25"/>
    </sheetView>
  </sheetViews>
  <sheetFormatPr defaultRowHeight="14.4" x14ac:dyDescent="0.55000000000000004"/>
  <cols>
    <col min="1" max="1" width="18.15625" bestFit="1" customWidth="1"/>
    <col min="2" max="2" width="13.15625" bestFit="1" customWidth="1"/>
    <col min="3" max="3" width="40.578125" bestFit="1" customWidth="1"/>
    <col min="4" max="4" width="11.734375" bestFit="1" customWidth="1"/>
    <col min="5" max="8" width="11.68359375" bestFit="1" customWidth="1"/>
    <col min="9" max="11" width="11.734375" bestFit="1" customWidth="1"/>
    <col min="12" max="12" width="11.7890625" bestFit="1" customWidth="1"/>
    <col min="13" max="17" width="11.734375" bestFit="1" customWidth="1"/>
    <col min="18" max="18" width="9.7890625" bestFit="1" customWidth="1"/>
    <col min="19" max="19" width="11.7890625" bestFit="1" customWidth="1"/>
    <col min="20" max="23" width="11.734375" bestFit="1" customWidth="1"/>
    <col min="24" max="25" width="11.7890625" bestFit="1" customWidth="1"/>
    <col min="26" max="26" width="11.734375" bestFit="1" customWidth="1"/>
  </cols>
  <sheetData>
    <row r="1" spans="1:26" ht="14.7" thickBot="1" x14ac:dyDescent="0.6">
      <c r="A1" s="46" t="s">
        <v>3</v>
      </c>
      <c r="B1" s="47" t="s">
        <v>4</v>
      </c>
      <c r="C1" s="47" t="s">
        <v>5</v>
      </c>
      <c r="D1" s="47" t="s">
        <v>6</v>
      </c>
      <c r="E1" s="47" t="s">
        <v>7</v>
      </c>
      <c r="F1" s="47" t="s">
        <v>8</v>
      </c>
      <c r="G1" s="47" t="s">
        <v>9</v>
      </c>
      <c r="H1" s="47" t="s">
        <v>10</v>
      </c>
      <c r="I1" s="47" t="s">
        <v>11</v>
      </c>
      <c r="J1" s="47" t="s">
        <v>12</v>
      </c>
      <c r="K1" s="47" t="s">
        <v>13</v>
      </c>
      <c r="L1" s="47" t="s">
        <v>14</v>
      </c>
      <c r="M1" s="47" t="s">
        <v>15</v>
      </c>
      <c r="N1" s="47" t="s">
        <v>16</v>
      </c>
      <c r="O1" s="47" t="s">
        <v>17</v>
      </c>
      <c r="P1" s="47" t="s">
        <v>18</v>
      </c>
      <c r="Q1" s="47" t="s">
        <v>19</v>
      </c>
      <c r="R1" s="47" t="s">
        <v>20</v>
      </c>
      <c r="S1" s="47" t="s">
        <v>21</v>
      </c>
      <c r="T1" s="47" t="s">
        <v>22</v>
      </c>
      <c r="U1" s="47" t="s">
        <v>23</v>
      </c>
      <c r="V1" s="47" t="s">
        <v>24</v>
      </c>
      <c r="W1" s="47" t="s">
        <v>25</v>
      </c>
      <c r="X1" s="47" t="s">
        <v>26</v>
      </c>
      <c r="Y1" s="47" t="s">
        <v>27</v>
      </c>
      <c r="Z1" s="48" t="s">
        <v>28</v>
      </c>
    </row>
    <row r="2" spans="1:26" x14ac:dyDescent="0.55000000000000004">
      <c r="A2" s="49" t="s">
        <v>49</v>
      </c>
      <c r="B2" s="38" t="s">
        <v>50</v>
      </c>
      <c r="C2" s="43" t="s">
        <v>2</v>
      </c>
      <c r="D2" s="27">
        <v>2070</v>
      </c>
      <c r="E2" s="28">
        <v>2180</v>
      </c>
      <c r="F2" s="28">
        <v>2260</v>
      </c>
      <c r="G2" s="28">
        <v>2440</v>
      </c>
      <c r="H2" s="28">
        <v>2660</v>
      </c>
      <c r="I2" s="28">
        <v>2920</v>
      </c>
      <c r="J2" s="28">
        <v>3200</v>
      </c>
      <c r="K2" s="28">
        <v>3500</v>
      </c>
      <c r="L2" s="28">
        <v>3610</v>
      </c>
      <c r="M2" s="28">
        <v>3870</v>
      </c>
      <c r="N2" s="28">
        <v>4170</v>
      </c>
      <c r="O2" s="28">
        <v>4430</v>
      </c>
      <c r="P2" s="28">
        <v>4780</v>
      </c>
      <c r="Q2" s="28">
        <v>4970</v>
      </c>
      <c r="R2" s="28">
        <v>5150</v>
      </c>
      <c r="S2" s="28">
        <v>5380</v>
      </c>
      <c r="T2" s="28">
        <v>5760</v>
      </c>
      <c r="U2" s="28">
        <v>6100</v>
      </c>
      <c r="V2" s="28">
        <v>6670</v>
      </c>
      <c r="W2" s="28">
        <v>7110</v>
      </c>
      <c r="X2" s="28">
        <v>6890</v>
      </c>
      <c r="Y2" s="28">
        <v>7880</v>
      </c>
      <c r="Z2" s="29">
        <v>8990</v>
      </c>
    </row>
    <row r="3" spans="1:26" x14ac:dyDescent="0.55000000000000004">
      <c r="A3" s="50" t="s">
        <v>33</v>
      </c>
      <c r="B3" s="40" t="s">
        <v>34</v>
      </c>
      <c r="C3" s="43" t="s">
        <v>2</v>
      </c>
      <c r="D3" s="30">
        <v>2880</v>
      </c>
      <c r="E3" s="31">
        <v>3160</v>
      </c>
      <c r="F3" s="31">
        <v>3500</v>
      </c>
      <c r="G3" s="31">
        <v>3910</v>
      </c>
      <c r="H3" s="31">
        <v>4420</v>
      </c>
      <c r="I3" s="31">
        <v>5020</v>
      </c>
      <c r="J3" s="31">
        <v>5830</v>
      </c>
      <c r="K3" s="31">
        <v>6830</v>
      </c>
      <c r="L3" s="31">
        <v>7630</v>
      </c>
      <c r="M3" s="31">
        <v>8290</v>
      </c>
      <c r="N3" s="31">
        <v>9220</v>
      </c>
      <c r="O3" s="31">
        <v>10200</v>
      </c>
      <c r="P3" s="31">
        <v>11210</v>
      </c>
      <c r="Q3" s="31">
        <v>11910</v>
      </c>
      <c r="R3" s="31">
        <v>12720</v>
      </c>
      <c r="S3" s="31">
        <v>13140</v>
      </c>
      <c r="T3" s="31">
        <v>13810</v>
      </c>
      <c r="U3" s="31">
        <v>14730</v>
      </c>
      <c r="V3" s="31">
        <v>15940</v>
      </c>
      <c r="W3" s="31">
        <v>17210</v>
      </c>
      <c r="X3" s="31">
        <v>17750</v>
      </c>
      <c r="Y3" s="31">
        <v>20260</v>
      </c>
      <c r="Z3" s="32">
        <v>22260</v>
      </c>
    </row>
    <row r="4" spans="1:26" x14ac:dyDescent="0.55000000000000004">
      <c r="A4" s="50" t="s">
        <v>51</v>
      </c>
      <c r="B4" s="40" t="s">
        <v>52</v>
      </c>
      <c r="C4" s="43" t="s">
        <v>2</v>
      </c>
      <c r="D4" s="30">
        <v>4370</v>
      </c>
      <c r="E4" s="31">
        <v>4710</v>
      </c>
      <c r="F4" s="31">
        <v>4970</v>
      </c>
      <c r="G4" s="31">
        <v>5190</v>
      </c>
      <c r="H4" s="31">
        <v>5490</v>
      </c>
      <c r="I4" s="31">
        <v>5890</v>
      </c>
      <c r="J4" s="31">
        <v>6360</v>
      </c>
      <c r="K4" s="31">
        <v>6870</v>
      </c>
      <c r="L4" s="31">
        <v>7370</v>
      </c>
      <c r="M4" s="31">
        <v>7660</v>
      </c>
      <c r="N4" s="31">
        <v>8210</v>
      </c>
      <c r="O4" s="31">
        <v>8770</v>
      </c>
      <c r="P4" s="31">
        <v>9350</v>
      </c>
      <c r="Q4" s="31">
        <v>9670</v>
      </c>
      <c r="R4" s="31">
        <v>9830</v>
      </c>
      <c r="S4" s="31">
        <v>9800</v>
      </c>
      <c r="T4" s="31">
        <v>10040</v>
      </c>
      <c r="U4" s="31">
        <v>10460</v>
      </c>
      <c r="V4" s="31">
        <v>11150</v>
      </c>
      <c r="W4" s="31">
        <v>11750</v>
      </c>
      <c r="X4" s="31">
        <v>11530</v>
      </c>
      <c r="Y4" s="31">
        <v>12550</v>
      </c>
      <c r="Z4" s="32">
        <v>14050</v>
      </c>
    </row>
    <row r="5" spans="1:26" x14ac:dyDescent="0.55000000000000004">
      <c r="A5" s="50" t="s">
        <v>47</v>
      </c>
      <c r="B5" s="40" t="s">
        <v>48</v>
      </c>
      <c r="C5" s="43" t="s">
        <v>2</v>
      </c>
      <c r="D5" s="30">
        <v>6650</v>
      </c>
      <c r="E5" s="31">
        <v>7260</v>
      </c>
      <c r="F5" s="31">
        <v>7880</v>
      </c>
      <c r="G5" s="31">
        <v>8970</v>
      </c>
      <c r="H5" s="31">
        <v>10010</v>
      </c>
      <c r="I5" s="31">
        <v>11540</v>
      </c>
      <c r="J5" s="31">
        <v>14480</v>
      </c>
      <c r="K5" s="31">
        <v>16280</v>
      </c>
      <c r="L5" s="31">
        <v>19600</v>
      </c>
      <c r="M5" s="31">
        <v>18760</v>
      </c>
      <c r="N5" s="31">
        <v>19860</v>
      </c>
      <c r="O5" s="31">
        <v>22130</v>
      </c>
      <c r="P5" s="31">
        <v>23560</v>
      </c>
      <c r="Q5" s="31">
        <v>25170</v>
      </c>
      <c r="R5" s="31">
        <v>24910</v>
      </c>
      <c r="S5" s="31">
        <v>23420</v>
      </c>
      <c r="T5" s="31">
        <v>23460</v>
      </c>
      <c r="U5" s="31">
        <v>25230</v>
      </c>
      <c r="V5" s="31">
        <v>28120</v>
      </c>
      <c r="W5" s="31">
        <v>30220</v>
      </c>
      <c r="X5" s="31">
        <v>31010</v>
      </c>
      <c r="Y5" s="31">
        <v>38060</v>
      </c>
      <c r="Z5" s="32">
        <v>39950</v>
      </c>
    </row>
    <row r="6" spans="1:26" x14ac:dyDescent="0.55000000000000004">
      <c r="A6" s="50" t="s">
        <v>57</v>
      </c>
      <c r="B6" s="40" t="s">
        <v>58</v>
      </c>
      <c r="C6" s="43" t="s">
        <v>2</v>
      </c>
      <c r="D6" s="30">
        <v>7980</v>
      </c>
      <c r="E6" s="31">
        <v>8250</v>
      </c>
      <c r="F6" s="31">
        <v>8670</v>
      </c>
      <c r="G6" s="31">
        <v>9000</v>
      </c>
      <c r="H6" s="31">
        <v>9630</v>
      </c>
      <c r="I6" s="31">
        <v>10360</v>
      </c>
      <c r="J6" s="31">
        <v>11170</v>
      </c>
      <c r="K6" s="31">
        <v>11820</v>
      </c>
      <c r="L6" s="31">
        <v>12300</v>
      </c>
      <c r="M6" s="31">
        <v>12150</v>
      </c>
      <c r="N6" s="31">
        <v>12520</v>
      </c>
      <c r="O6" s="31">
        <v>12970</v>
      </c>
      <c r="P6" s="31">
        <v>12810</v>
      </c>
      <c r="Q6" s="31">
        <v>13240</v>
      </c>
      <c r="R6" s="31">
        <v>13230</v>
      </c>
      <c r="S6" s="31">
        <v>13290</v>
      </c>
      <c r="T6" s="31">
        <v>13370</v>
      </c>
      <c r="U6" s="31">
        <v>13590</v>
      </c>
      <c r="V6" s="31">
        <v>13260</v>
      </c>
      <c r="W6" s="31">
        <v>13360</v>
      </c>
      <c r="X6" s="31">
        <v>12850</v>
      </c>
      <c r="Y6" s="31">
        <v>13900</v>
      </c>
      <c r="Z6" s="32">
        <v>15010</v>
      </c>
    </row>
    <row r="7" spans="1:26" x14ac:dyDescent="0.55000000000000004">
      <c r="A7" s="50" t="s">
        <v>31</v>
      </c>
      <c r="B7" s="40" t="s">
        <v>32</v>
      </c>
      <c r="C7" s="43" t="s">
        <v>2</v>
      </c>
      <c r="D7" s="30">
        <v>8740</v>
      </c>
      <c r="E7" s="31">
        <v>8900</v>
      </c>
      <c r="F7" s="31">
        <v>9190</v>
      </c>
      <c r="G7" s="31">
        <v>9390</v>
      </c>
      <c r="H7" s="31">
        <v>10100</v>
      </c>
      <c r="I7" s="31">
        <v>10640</v>
      </c>
      <c r="J7" s="31">
        <v>11320</v>
      </c>
      <c r="K7" s="31">
        <v>12260</v>
      </c>
      <c r="L7" s="31">
        <v>12960</v>
      </c>
      <c r="M7" s="31">
        <v>12930</v>
      </c>
      <c r="N7" s="31">
        <v>13810</v>
      </c>
      <c r="O7" s="31">
        <v>14600</v>
      </c>
      <c r="P7" s="31">
        <v>14590</v>
      </c>
      <c r="Q7" s="31">
        <v>15250</v>
      </c>
      <c r="R7" s="31">
        <v>15270</v>
      </c>
      <c r="S7" s="31">
        <v>14290</v>
      </c>
      <c r="T7" s="31">
        <v>13760</v>
      </c>
      <c r="U7" s="31">
        <v>14030</v>
      </c>
      <c r="V7" s="31">
        <v>14740</v>
      </c>
      <c r="W7" s="31">
        <v>15320</v>
      </c>
      <c r="X7" s="31">
        <v>15430</v>
      </c>
      <c r="Y7" s="31">
        <v>16900</v>
      </c>
      <c r="Z7" s="32">
        <v>18530</v>
      </c>
    </row>
    <row r="8" spans="1:26" x14ac:dyDescent="0.55000000000000004">
      <c r="A8" s="50" t="s">
        <v>59</v>
      </c>
      <c r="B8" s="40" t="s">
        <v>60</v>
      </c>
      <c r="C8" s="43" t="s">
        <v>2</v>
      </c>
      <c r="D8" s="30">
        <v>9360</v>
      </c>
      <c r="E8" s="31">
        <v>8930</v>
      </c>
      <c r="F8" s="31">
        <v>9110</v>
      </c>
      <c r="G8" s="31">
        <v>9420</v>
      </c>
      <c r="H8" s="31">
        <v>10710</v>
      </c>
      <c r="I8" s="31">
        <v>11740</v>
      </c>
      <c r="J8" s="31">
        <v>13440</v>
      </c>
      <c r="K8" s="31">
        <v>14730</v>
      </c>
      <c r="L8" s="31">
        <v>15880</v>
      </c>
      <c r="M8" s="31">
        <v>15260</v>
      </c>
      <c r="N8" s="31">
        <v>17200</v>
      </c>
      <c r="O8" s="31">
        <v>19420</v>
      </c>
      <c r="P8" s="31">
        <v>20470</v>
      </c>
      <c r="Q8" s="31">
        <v>22170</v>
      </c>
      <c r="R8" s="31">
        <v>23890</v>
      </c>
      <c r="S8" s="31">
        <v>25570</v>
      </c>
      <c r="T8" s="31">
        <v>26410</v>
      </c>
      <c r="U8" s="31">
        <v>27840</v>
      </c>
      <c r="V8" s="31">
        <v>27900</v>
      </c>
      <c r="W8" s="31">
        <v>28020</v>
      </c>
      <c r="X8" s="31">
        <v>28340</v>
      </c>
      <c r="Y8" s="31">
        <v>31230</v>
      </c>
      <c r="Z8" s="32">
        <v>37990</v>
      </c>
    </row>
    <row r="9" spans="1:26" x14ac:dyDescent="0.55000000000000004">
      <c r="A9" s="50" t="s">
        <v>29</v>
      </c>
      <c r="B9" s="40" t="s">
        <v>30</v>
      </c>
      <c r="C9" s="43" t="s">
        <v>2</v>
      </c>
      <c r="D9" s="30">
        <v>11240</v>
      </c>
      <c r="E9" s="31">
        <v>10840</v>
      </c>
      <c r="F9" s="31">
        <v>9480</v>
      </c>
      <c r="G9" s="31">
        <v>10530</v>
      </c>
      <c r="H9" s="31">
        <v>10810</v>
      </c>
      <c r="I9" s="31">
        <v>11980</v>
      </c>
      <c r="J9" s="31">
        <v>14410</v>
      </c>
      <c r="K9" s="31">
        <v>16080</v>
      </c>
      <c r="L9" s="31">
        <v>16910</v>
      </c>
      <c r="M9" s="31">
        <v>15750</v>
      </c>
      <c r="N9" s="31">
        <v>17450</v>
      </c>
      <c r="O9" s="31">
        <v>18770</v>
      </c>
      <c r="P9" s="31">
        <v>19170</v>
      </c>
      <c r="Q9" s="31">
        <v>19680</v>
      </c>
      <c r="R9" s="31">
        <v>19250</v>
      </c>
      <c r="S9" s="31">
        <v>19680</v>
      </c>
      <c r="T9" s="31">
        <v>19800</v>
      </c>
      <c r="U9" s="31">
        <v>22910</v>
      </c>
      <c r="V9" s="31">
        <v>23620</v>
      </c>
      <c r="W9" s="31">
        <v>22610</v>
      </c>
      <c r="X9" s="31">
        <v>21700</v>
      </c>
      <c r="Y9" s="31">
        <v>25560</v>
      </c>
      <c r="Z9" s="32">
        <v>28490</v>
      </c>
    </row>
    <row r="10" spans="1:26" x14ac:dyDescent="0.55000000000000004">
      <c r="A10" s="50" t="s">
        <v>45</v>
      </c>
      <c r="B10" s="40" t="s">
        <v>46</v>
      </c>
      <c r="C10" s="43" t="s">
        <v>2</v>
      </c>
      <c r="D10" s="30">
        <v>11550</v>
      </c>
      <c r="E10" s="31">
        <v>11610</v>
      </c>
      <c r="F10" s="31">
        <v>11690</v>
      </c>
      <c r="G10" s="31">
        <v>12000</v>
      </c>
      <c r="H10" s="31">
        <v>12600</v>
      </c>
      <c r="I10" s="31">
        <v>13110</v>
      </c>
      <c r="J10" s="31">
        <v>14370</v>
      </c>
      <c r="K10" s="31">
        <v>14860</v>
      </c>
      <c r="L10" s="31">
        <v>15570</v>
      </c>
      <c r="M10" s="31">
        <v>15090</v>
      </c>
      <c r="N10" s="31">
        <v>15890</v>
      </c>
      <c r="O10" s="31">
        <v>17170</v>
      </c>
      <c r="P10" s="31">
        <v>17790</v>
      </c>
      <c r="Q10" s="31">
        <v>17800</v>
      </c>
      <c r="R10" s="31">
        <v>18530</v>
      </c>
      <c r="S10" s="31">
        <v>18740</v>
      </c>
      <c r="T10" s="31">
        <v>19700</v>
      </c>
      <c r="U10" s="31">
        <v>20060</v>
      </c>
      <c r="V10" s="31">
        <v>20470</v>
      </c>
      <c r="W10" s="31">
        <v>20500</v>
      </c>
      <c r="X10" s="31">
        <v>18850</v>
      </c>
      <c r="Y10" s="31">
        <v>20580</v>
      </c>
      <c r="Z10" s="32">
        <v>23350</v>
      </c>
    </row>
    <row r="11" spans="1:26" x14ac:dyDescent="0.55000000000000004">
      <c r="A11" s="50" t="s">
        <v>65</v>
      </c>
      <c r="B11" s="40" t="s">
        <v>66</v>
      </c>
      <c r="C11" s="43" t="s">
        <v>2</v>
      </c>
      <c r="D11" s="30">
        <v>18410</v>
      </c>
      <c r="E11" s="31">
        <v>19590</v>
      </c>
      <c r="F11" s="31">
        <v>21320</v>
      </c>
      <c r="G11" s="31">
        <v>22020</v>
      </c>
      <c r="H11" s="31">
        <v>23730</v>
      </c>
      <c r="I11" s="31">
        <v>25010</v>
      </c>
      <c r="J11" s="31">
        <v>26810</v>
      </c>
      <c r="K11" s="31">
        <v>28990</v>
      </c>
      <c r="L11" s="31">
        <v>29950</v>
      </c>
      <c r="M11" s="31">
        <v>29460</v>
      </c>
      <c r="N11" s="31">
        <v>31780</v>
      </c>
      <c r="O11" s="31">
        <v>32750</v>
      </c>
      <c r="P11" s="31">
        <v>33910</v>
      </c>
      <c r="Q11" s="31">
        <v>34460</v>
      </c>
      <c r="R11" s="31">
        <v>35500</v>
      </c>
      <c r="S11" s="31">
        <v>38020</v>
      </c>
      <c r="T11" s="31">
        <v>39720</v>
      </c>
      <c r="U11" s="31">
        <v>41120</v>
      </c>
      <c r="V11" s="31">
        <v>43220</v>
      </c>
      <c r="W11" s="31">
        <v>44240</v>
      </c>
      <c r="X11" s="31">
        <v>45540</v>
      </c>
      <c r="Y11" s="31">
        <v>49140</v>
      </c>
      <c r="Z11" s="32">
        <v>52430</v>
      </c>
    </row>
    <row r="12" spans="1:26" x14ac:dyDescent="0.55000000000000004">
      <c r="A12" s="50" t="s">
        <v>63</v>
      </c>
      <c r="B12" s="40" t="s">
        <v>64</v>
      </c>
      <c r="C12" s="43" t="s">
        <v>2</v>
      </c>
      <c r="D12" s="30">
        <v>22026.2523524114</v>
      </c>
      <c r="E12" s="31">
        <v>23064.687648436458</v>
      </c>
      <c r="F12" s="31">
        <v>24004.969071273536</v>
      </c>
      <c r="G12" s="31">
        <v>24520.997623820746</v>
      </c>
      <c r="H12" s="31">
        <v>25724.039365530614</v>
      </c>
      <c r="I12" s="31">
        <v>26741.501165067883</v>
      </c>
      <c r="J12" s="31">
        <v>29077.109385511209</v>
      </c>
      <c r="K12" s="31">
        <v>30873.875624360186</v>
      </c>
      <c r="L12" s="31">
        <v>32226.62108669286</v>
      </c>
      <c r="M12" s="31">
        <v>31718.827517538419</v>
      </c>
      <c r="N12" s="31">
        <v>32808.824076274323</v>
      </c>
      <c r="O12" s="31">
        <v>34455.060962698495</v>
      </c>
      <c r="P12" s="31">
        <v>34971.592747264491</v>
      </c>
      <c r="Q12" s="31">
        <v>36120.123957217227</v>
      </c>
      <c r="R12" s="31">
        <v>37095.968348923067</v>
      </c>
      <c r="S12" s="31">
        <v>38089.824395645643</v>
      </c>
      <c r="T12" s="31">
        <v>40497.959386944742</v>
      </c>
      <c r="U12" s="31">
        <v>42620.631552599123</v>
      </c>
      <c r="V12" s="31">
        <v>44728.629420830497</v>
      </c>
      <c r="W12" s="31">
        <v>48265.41183434175</v>
      </c>
      <c r="X12" s="31">
        <v>47009.701479005686</v>
      </c>
      <c r="Y12" s="31">
        <v>52118.1304223556</v>
      </c>
      <c r="Z12" s="32">
        <v>57238.073991187746</v>
      </c>
    </row>
    <row r="13" spans="1:26" x14ac:dyDescent="0.55000000000000004">
      <c r="A13" s="50" t="s">
        <v>0</v>
      </c>
      <c r="B13" s="40" t="s">
        <v>1</v>
      </c>
      <c r="C13" s="43" t="s">
        <v>2</v>
      </c>
      <c r="D13" s="30">
        <v>25780</v>
      </c>
      <c r="E13" s="31">
        <v>26870</v>
      </c>
      <c r="F13" s="31">
        <v>28250</v>
      </c>
      <c r="G13" s="31">
        <v>29270</v>
      </c>
      <c r="H13" s="31">
        <v>30860</v>
      </c>
      <c r="I13" s="31">
        <v>31810</v>
      </c>
      <c r="J13" s="31">
        <v>33490</v>
      </c>
      <c r="K13" s="31">
        <v>35020</v>
      </c>
      <c r="L13" s="31">
        <v>36000</v>
      </c>
      <c r="M13" s="31">
        <v>38900</v>
      </c>
      <c r="N13" s="31">
        <v>37840</v>
      </c>
      <c r="O13" s="31">
        <v>40340</v>
      </c>
      <c r="P13" s="31">
        <v>41560</v>
      </c>
      <c r="Q13" s="31">
        <v>44790</v>
      </c>
      <c r="R13" s="31">
        <v>45690</v>
      </c>
      <c r="S13" s="31">
        <v>45350</v>
      </c>
      <c r="T13" s="31">
        <v>46170</v>
      </c>
      <c r="U13" s="31">
        <v>47090</v>
      </c>
      <c r="V13" s="31">
        <v>48670</v>
      </c>
      <c r="W13" s="31">
        <v>50970</v>
      </c>
      <c r="X13" s="31">
        <v>52840</v>
      </c>
      <c r="Y13" s="31">
        <v>56780</v>
      </c>
      <c r="Z13" s="32">
        <v>62920</v>
      </c>
    </row>
    <row r="14" spans="1:26" x14ac:dyDescent="0.55000000000000004">
      <c r="A14" s="50" t="s">
        <v>35</v>
      </c>
      <c r="B14" s="40" t="s">
        <v>36</v>
      </c>
      <c r="C14" s="43" t="s">
        <v>2</v>
      </c>
      <c r="D14" s="30">
        <v>26500</v>
      </c>
      <c r="E14" s="31">
        <v>27990</v>
      </c>
      <c r="F14" s="31">
        <v>28820</v>
      </c>
      <c r="G14" s="31">
        <v>28540</v>
      </c>
      <c r="H14" s="31">
        <v>29460</v>
      </c>
      <c r="I14" s="31">
        <v>31020</v>
      </c>
      <c r="J14" s="31">
        <v>33110</v>
      </c>
      <c r="K14" s="31">
        <v>34800</v>
      </c>
      <c r="L14" s="31">
        <v>35860</v>
      </c>
      <c r="M14" s="31">
        <v>35470</v>
      </c>
      <c r="N14" s="31">
        <v>36730</v>
      </c>
      <c r="O14" s="31">
        <v>38430</v>
      </c>
      <c r="P14" s="31">
        <v>38500</v>
      </c>
      <c r="Q14" s="31">
        <v>40410</v>
      </c>
      <c r="R14" s="31">
        <v>41010</v>
      </c>
      <c r="S14" s="31">
        <v>41730</v>
      </c>
      <c r="T14" s="31">
        <v>43830</v>
      </c>
      <c r="U14" s="31">
        <v>45580</v>
      </c>
      <c r="V14" s="31">
        <v>47620</v>
      </c>
      <c r="W14" s="31">
        <v>52340</v>
      </c>
      <c r="X14" s="31">
        <v>49880</v>
      </c>
      <c r="Y14" s="31">
        <v>55020</v>
      </c>
      <c r="Z14" s="32">
        <v>58610</v>
      </c>
    </row>
    <row r="15" spans="1:26" x14ac:dyDescent="0.55000000000000004">
      <c r="A15" s="50" t="s">
        <v>41</v>
      </c>
      <c r="B15" s="40" t="s">
        <v>42</v>
      </c>
      <c r="C15" s="43" t="s">
        <v>2</v>
      </c>
      <c r="D15" s="30">
        <v>26600</v>
      </c>
      <c r="E15" s="31">
        <v>28070</v>
      </c>
      <c r="F15" s="31">
        <v>29430</v>
      </c>
      <c r="G15" s="31">
        <v>30660</v>
      </c>
      <c r="H15" s="31">
        <v>32320</v>
      </c>
      <c r="I15" s="31">
        <v>33070</v>
      </c>
      <c r="J15" s="31">
        <v>34600</v>
      </c>
      <c r="K15" s="31">
        <v>35200</v>
      </c>
      <c r="L15" s="31">
        <v>36260</v>
      </c>
      <c r="M15" s="31">
        <v>34730</v>
      </c>
      <c r="N15" s="31">
        <v>36500</v>
      </c>
      <c r="O15" s="31">
        <v>37380</v>
      </c>
      <c r="P15" s="31">
        <v>37990</v>
      </c>
      <c r="Q15" s="31">
        <v>39250</v>
      </c>
      <c r="R15" s="31">
        <v>40540</v>
      </c>
      <c r="S15" s="31">
        <v>41570</v>
      </c>
      <c r="T15" s="31">
        <v>43050</v>
      </c>
      <c r="U15" s="31">
        <v>45550</v>
      </c>
      <c r="V15" s="31">
        <v>46450</v>
      </c>
      <c r="W15" s="31">
        <v>49860</v>
      </c>
      <c r="X15" s="31">
        <v>46980</v>
      </c>
      <c r="Y15" s="31">
        <v>53130</v>
      </c>
      <c r="Z15" s="32">
        <v>57750</v>
      </c>
    </row>
    <row r="16" spans="1:26" x14ac:dyDescent="0.55000000000000004">
      <c r="A16" s="50" t="s">
        <v>39</v>
      </c>
      <c r="B16" s="40" t="s">
        <v>40</v>
      </c>
      <c r="C16" s="43" t="s">
        <v>2</v>
      </c>
      <c r="D16" s="30">
        <v>26970</v>
      </c>
      <c r="E16" s="31">
        <v>27960</v>
      </c>
      <c r="F16" s="31">
        <v>28610</v>
      </c>
      <c r="G16" s="31">
        <v>29060</v>
      </c>
      <c r="H16" s="31">
        <v>29510</v>
      </c>
      <c r="I16" s="31">
        <v>30180</v>
      </c>
      <c r="J16" s="31">
        <v>32580</v>
      </c>
      <c r="K16" s="31">
        <v>34180</v>
      </c>
      <c r="L16" s="31">
        <v>35200</v>
      </c>
      <c r="M16" s="31">
        <v>34580</v>
      </c>
      <c r="N16" s="31">
        <v>35080</v>
      </c>
      <c r="O16" s="31">
        <v>36510</v>
      </c>
      <c r="P16" s="31">
        <v>36440</v>
      </c>
      <c r="Q16" s="31">
        <v>36250</v>
      </c>
      <c r="R16" s="31">
        <v>36200</v>
      </c>
      <c r="S16" s="31">
        <v>36640</v>
      </c>
      <c r="T16" s="31">
        <v>40040</v>
      </c>
      <c r="U16" s="31">
        <v>41810</v>
      </c>
      <c r="V16" s="31">
        <v>43510</v>
      </c>
      <c r="W16" s="31">
        <v>46840</v>
      </c>
      <c r="X16" s="31">
        <v>44770</v>
      </c>
      <c r="Y16" s="31">
        <v>50550</v>
      </c>
      <c r="Z16" s="32">
        <v>55940</v>
      </c>
    </row>
    <row r="17" spans="1:26" x14ac:dyDescent="0.55000000000000004">
      <c r="A17" s="50" t="s">
        <v>53</v>
      </c>
      <c r="B17" s="40" t="s">
        <v>54</v>
      </c>
      <c r="C17" s="43" t="s">
        <v>2</v>
      </c>
      <c r="D17" s="30">
        <v>27050</v>
      </c>
      <c r="E17" s="31">
        <v>28180</v>
      </c>
      <c r="F17" s="31">
        <v>28870</v>
      </c>
      <c r="G17" s="31">
        <v>29610</v>
      </c>
      <c r="H17" s="31">
        <v>31520</v>
      </c>
      <c r="I17" s="31">
        <v>32060</v>
      </c>
      <c r="J17" s="31">
        <v>34740</v>
      </c>
      <c r="K17" s="31">
        <v>36820</v>
      </c>
      <c r="L17" s="31">
        <v>38160</v>
      </c>
      <c r="M17" s="31">
        <v>37640</v>
      </c>
      <c r="N17" s="31">
        <v>39730</v>
      </c>
      <c r="O17" s="31">
        <v>43630</v>
      </c>
      <c r="P17" s="31">
        <v>44400</v>
      </c>
      <c r="Q17" s="31">
        <v>46040</v>
      </c>
      <c r="R17" s="31">
        <v>47950</v>
      </c>
      <c r="S17" s="31">
        <v>48690</v>
      </c>
      <c r="T17" s="31">
        <v>51830</v>
      </c>
      <c r="U17" s="31">
        <v>54340</v>
      </c>
      <c r="V17" s="31">
        <v>57060</v>
      </c>
      <c r="W17" s="31">
        <v>60430</v>
      </c>
      <c r="X17" s="31">
        <v>59560</v>
      </c>
      <c r="Y17" s="31">
        <v>64330</v>
      </c>
      <c r="Z17" s="32">
        <v>69210</v>
      </c>
    </row>
    <row r="18" spans="1:26" x14ac:dyDescent="0.55000000000000004">
      <c r="A18" s="50" t="s">
        <v>43</v>
      </c>
      <c r="B18" s="40" t="s">
        <v>44</v>
      </c>
      <c r="C18" s="43" t="s">
        <v>2</v>
      </c>
      <c r="D18" s="30">
        <v>27680</v>
      </c>
      <c r="E18" s="31">
        <v>28380</v>
      </c>
      <c r="F18" s="31">
        <v>29040</v>
      </c>
      <c r="G18" s="31">
        <v>29870</v>
      </c>
      <c r="H18" s="31">
        <v>31430</v>
      </c>
      <c r="I18" s="31">
        <v>32880</v>
      </c>
      <c r="J18" s="31">
        <v>34530</v>
      </c>
      <c r="K18" s="31">
        <v>36090</v>
      </c>
      <c r="L18" s="31">
        <v>36220</v>
      </c>
      <c r="M18" s="31">
        <v>34390</v>
      </c>
      <c r="N18" s="31">
        <v>36280</v>
      </c>
      <c r="O18" s="31">
        <v>37270</v>
      </c>
      <c r="P18" s="31">
        <v>38640</v>
      </c>
      <c r="Q18" s="31">
        <v>40760</v>
      </c>
      <c r="R18" s="31">
        <v>41030</v>
      </c>
      <c r="S18" s="31">
        <v>42510</v>
      </c>
      <c r="T18" s="31">
        <v>42010</v>
      </c>
      <c r="U18" s="31">
        <v>42980</v>
      </c>
      <c r="V18" s="31">
        <v>43750</v>
      </c>
      <c r="W18" s="31">
        <v>44350</v>
      </c>
      <c r="X18" s="31">
        <v>43920</v>
      </c>
      <c r="Y18" s="31">
        <v>46440</v>
      </c>
      <c r="Z18" s="32">
        <v>49820</v>
      </c>
    </row>
    <row r="19" spans="1:26" x14ac:dyDescent="0.55000000000000004">
      <c r="A19" s="50" t="s">
        <v>37</v>
      </c>
      <c r="B19" s="40" t="s">
        <v>38</v>
      </c>
      <c r="C19" s="43" t="s">
        <v>2</v>
      </c>
      <c r="D19" s="30">
        <v>28590</v>
      </c>
      <c r="E19" s="31">
        <v>29380</v>
      </c>
      <c r="F19" s="31">
        <v>30180</v>
      </c>
      <c r="G19" s="31">
        <v>31550</v>
      </c>
      <c r="H19" s="31">
        <v>33190</v>
      </c>
      <c r="I19" s="31">
        <v>35580</v>
      </c>
      <c r="J19" s="31">
        <v>37510</v>
      </c>
      <c r="K19" s="31">
        <v>38990</v>
      </c>
      <c r="L19" s="31">
        <v>39780</v>
      </c>
      <c r="M19" s="31">
        <v>38200</v>
      </c>
      <c r="N19" s="31">
        <v>39310</v>
      </c>
      <c r="O19" s="31">
        <v>40880</v>
      </c>
      <c r="P19" s="31">
        <v>41540</v>
      </c>
      <c r="Q19" s="31">
        <v>43620</v>
      </c>
      <c r="R19" s="31">
        <v>45010</v>
      </c>
      <c r="S19" s="31">
        <v>43990</v>
      </c>
      <c r="T19" s="31">
        <v>45900</v>
      </c>
      <c r="U19" s="31">
        <v>47700</v>
      </c>
      <c r="V19" s="31">
        <v>49140</v>
      </c>
      <c r="W19" s="31">
        <v>49920</v>
      </c>
      <c r="X19" s="31">
        <v>48000</v>
      </c>
      <c r="Y19" s="31">
        <v>55310</v>
      </c>
      <c r="Z19" s="32">
        <v>60760</v>
      </c>
    </row>
    <row r="20" spans="1:26" x14ac:dyDescent="0.55000000000000004">
      <c r="A20" s="50" t="s">
        <v>55</v>
      </c>
      <c r="B20" s="40" t="s">
        <v>56</v>
      </c>
      <c r="C20" s="43" t="s">
        <v>2</v>
      </c>
      <c r="D20" s="30">
        <v>36800</v>
      </c>
      <c r="E20" s="31">
        <v>37710</v>
      </c>
      <c r="F20" s="31">
        <v>38430</v>
      </c>
      <c r="G20" s="31">
        <v>39760</v>
      </c>
      <c r="H20" s="31">
        <v>42070</v>
      </c>
      <c r="I20" s="31">
        <v>44550</v>
      </c>
      <c r="J20" s="31">
        <v>47140</v>
      </c>
      <c r="K20" s="31">
        <v>48300</v>
      </c>
      <c r="L20" s="31">
        <v>48400</v>
      </c>
      <c r="M20" s="31">
        <v>47030</v>
      </c>
      <c r="N20" s="31">
        <v>49050</v>
      </c>
      <c r="O20" s="31">
        <v>50870</v>
      </c>
      <c r="P20" s="31">
        <v>53130</v>
      </c>
      <c r="Q20" s="31">
        <v>54380</v>
      </c>
      <c r="R20" s="31">
        <v>56670</v>
      </c>
      <c r="S20" s="31">
        <v>58180</v>
      </c>
      <c r="T20" s="31">
        <v>58870</v>
      </c>
      <c r="U20" s="31">
        <v>61160</v>
      </c>
      <c r="V20" s="31">
        <v>64060</v>
      </c>
      <c r="W20" s="31">
        <v>66290</v>
      </c>
      <c r="X20" s="31">
        <v>64770</v>
      </c>
      <c r="Y20" s="31">
        <v>71130</v>
      </c>
      <c r="Z20" s="32">
        <v>77950</v>
      </c>
    </row>
    <row r="21" spans="1:26" ht="14.7" thickBot="1" x14ac:dyDescent="0.6">
      <c r="A21" s="51" t="s">
        <v>61</v>
      </c>
      <c r="B21" s="42" t="s">
        <v>62</v>
      </c>
      <c r="C21" s="43" t="s">
        <v>2</v>
      </c>
      <c r="D21" s="30">
        <v>38340</v>
      </c>
      <c r="E21" s="31">
        <v>37970</v>
      </c>
      <c r="F21" s="31">
        <v>36490</v>
      </c>
      <c r="G21" s="31">
        <v>40310</v>
      </c>
      <c r="H21" s="31">
        <v>43860</v>
      </c>
      <c r="I21" s="31">
        <v>46390</v>
      </c>
      <c r="J21" s="31">
        <v>47340</v>
      </c>
      <c r="K21" s="31">
        <v>47850</v>
      </c>
      <c r="L21" s="31">
        <v>49970</v>
      </c>
      <c r="M21" s="31">
        <v>47560</v>
      </c>
      <c r="N21" s="31">
        <v>48640</v>
      </c>
      <c r="O21" s="31">
        <v>53810</v>
      </c>
      <c r="P21" s="31">
        <v>55280</v>
      </c>
      <c r="Q21" s="31">
        <v>54410</v>
      </c>
      <c r="R21" s="31">
        <v>54860</v>
      </c>
      <c r="S21" s="31">
        <v>48630</v>
      </c>
      <c r="T21" s="31">
        <v>45750</v>
      </c>
      <c r="U21" s="31">
        <v>47110</v>
      </c>
      <c r="V21" s="31">
        <v>49340</v>
      </c>
      <c r="W21" s="31">
        <v>47590</v>
      </c>
      <c r="X21" s="31">
        <v>40580</v>
      </c>
      <c r="Y21" s="31">
        <v>48590</v>
      </c>
      <c r="Z21" s="32">
        <v>55400</v>
      </c>
    </row>
    <row r="22" spans="1:26" x14ac:dyDescent="0.55000000000000004">
      <c r="C22" s="56" t="s">
        <v>80</v>
      </c>
      <c r="D22" s="60">
        <f>AVERAGE(D2:D21)</f>
        <v>18479.31261762057</v>
      </c>
      <c r="E22" s="60">
        <f>AVERAGE(E2:E21)</f>
        <v>19050.234382421822</v>
      </c>
      <c r="F22" s="60">
        <f>AVERAGE(F2:F21)</f>
        <v>19509.748453563676</v>
      </c>
      <c r="G22" s="60">
        <f>AVERAGE(G2:G21)</f>
        <v>20301.049881191037</v>
      </c>
      <c r="H22" s="60">
        <f t="shared" ref="H22:Y22" si="0">AVERAGE(H2:H21)</f>
        <v>21505.201968276531</v>
      </c>
      <c r="I22" s="60">
        <f t="shared" si="0"/>
        <v>22624.575058253395</v>
      </c>
      <c r="J22" s="60">
        <f t="shared" si="0"/>
        <v>24275.355469275561</v>
      </c>
      <c r="K22" s="60">
        <f t="shared" si="0"/>
        <v>25517.193781218008</v>
      </c>
      <c r="L22" s="60">
        <f t="shared" si="0"/>
        <v>26492.831054334645</v>
      </c>
      <c r="M22" s="60">
        <f t="shared" si="0"/>
        <v>25971.941375876922</v>
      </c>
      <c r="N22" s="60">
        <f t="shared" si="0"/>
        <v>27103.941203813716</v>
      </c>
      <c r="O22" s="60">
        <f t="shared" si="0"/>
        <v>28739.25304813492</v>
      </c>
      <c r="P22" s="60">
        <f>AVERAGE(P2:P21)</f>
        <v>29504.579637363226</v>
      </c>
      <c r="Q22" s="60">
        <f t="shared" si="0"/>
        <v>30517.506197860861</v>
      </c>
      <c r="R22" s="60">
        <f t="shared" si="0"/>
        <v>31216.798417446156</v>
      </c>
      <c r="S22" s="60">
        <f t="shared" si="0"/>
        <v>31335.491219782281</v>
      </c>
      <c r="T22" s="60">
        <f t="shared" si="0"/>
        <v>32188.897969347239</v>
      </c>
      <c r="U22" s="60">
        <f t="shared" si="0"/>
        <v>33600.531577629954</v>
      </c>
      <c r="V22" s="60">
        <f t="shared" si="0"/>
        <v>34970.931471041527</v>
      </c>
      <c r="W22" s="60">
        <f t="shared" si="0"/>
        <v>36359.770591717082</v>
      </c>
      <c r="X22" s="60">
        <f t="shared" si="0"/>
        <v>35409.98507395028</v>
      </c>
      <c r="Y22" s="60">
        <f t="shared" si="0"/>
        <v>39472.90652111778</v>
      </c>
      <c r="Z22" s="60">
        <f>AVERAGE(Z2:Z21)</f>
        <v>43332.403699559385</v>
      </c>
    </row>
    <row r="23" spans="1:26" x14ac:dyDescent="0.55000000000000004">
      <c r="C23" s="57" t="s">
        <v>81</v>
      </c>
      <c r="D23" s="61">
        <f>MEDIAN(D2:D21)</f>
        <v>20218.1261762057</v>
      </c>
      <c r="E23" s="61">
        <f>MEDIAN(E2:E21)</f>
        <v>21327.343824218231</v>
      </c>
      <c r="F23" s="61">
        <f t="shared" ref="E23:Z23" si="1">MEDIAN(F2:F21)</f>
        <v>22662.484535636766</v>
      </c>
      <c r="G23" s="61">
        <f t="shared" si="1"/>
        <v>23270.498811910373</v>
      </c>
      <c r="H23" s="61">
        <f t="shared" si="1"/>
        <v>24727.019682765305</v>
      </c>
      <c r="I23" s="61">
        <f>MEDIAN(I2:I21)</f>
        <v>25875.750582533939</v>
      </c>
      <c r="J23" s="61">
        <f t="shared" si="1"/>
        <v>27943.554692755606</v>
      </c>
      <c r="K23" s="61">
        <f t="shared" si="1"/>
        <v>29931.937812180091</v>
      </c>
      <c r="L23" s="61">
        <f t="shared" si="1"/>
        <v>31088.31054334643</v>
      </c>
      <c r="M23" s="61">
        <f t="shared" si="1"/>
        <v>30589.413758769209</v>
      </c>
      <c r="N23" s="61">
        <f t="shared" si="1"/>
        <v>32294.412038137161</v>
      </c>
      <c r="O23" s="61">
        <f t="shared" si="1"/>
        <v>33602.530481349248</v>
      </c>
      <c r="P23" s="61">
        <f t="shared" si="1"/>
        <v>34440.796373632242</v>
      </c>
      <c r="Q23" s="61">
        <f t="shared" si="1"/>
        <v>35290.061978608617</v>
      </c>
      <c r="R23" s="61">
        <f t="shared" si="1"/>
        <v>35850</v>
      </c>
      <c r="S23" s="61">
        <f t="shared" si="1"/>
        <v>37330</v>
      </c>
      <c r="T23" s="61">
        <f t="shared" si="1"/>
        <v>39880</v>
      </c>
      <c r="U23" s="61">
        <f t="shared" si="1"/>
        <v>41465</v>
      </c>
      <c r="V23" s="61">
        <f t="shared" si="1"/>
        <v>43365</v>
      </c>
      <c r="W23" s="61">
        <f t="shared" si="1"/>
        <v>44295</v>
      </c>
      <c r="X23" s="61">
        <f>MEDIAN(X2:X21)</f>
        <v>42250</v>
      </c>
      <c r="Y23" s="61">
        <f t="shared" si="1"/>
        <v>47515</v>
      </c>
      <c r="Z23" s="61">
        <f t="shared" si="1"/>
        <v>51125</v>
      </c>
    </row>
    <row r="24" spans="1:26" x14ac:dyDescent="0.55000000000000004">
      <c r="C24" s="58" t="s">
        <v>83</v>
      </c>
      <c r="D24" s="62">
        <f>_xlfn.VAR.P(D2:D21)</f>
        <v>124948414.81485462</v>
      </c>
      <c r="E24" s="62">
        <f>_xlfn.VAR.P(E2:E21)</f>
        <v>131403690.79079026</v>
      </c>
      <c r="F24" s="62">
        <f>_xlfn.VAR.P(F2:F21)</f>
        <v>135039977.28430969</v>
      </c>
      <c r="G24" s="62">
        <f>_xlfn.VAR.P(G2:G21)</f>
        <v>145542209.94476455</v>
      </c>
      <c r="H24" s="62">
        <f>_xlfn.VAR.P(H2:H21)</f>
        <v>161477688.36760375</v>
      </c>
      <c r="I24" s="62">
        <f>_xlfn.VAR.P(I2:I21)</f>
        <v>173435632.66152474</v>
      </c>
      <c r="J24" s="62">
        <f>_xlfn.VAR.P(J2:J21)</f>
        <v>183317396.35116234</v>
      </c>
      <c r="K24" s="62">
        <f>_xlfn.VAR.P(K2:K21)</f>
        <v>188713586.33519217</v>
      </c>
      <c r="L24" s="62">
        <f>_xlfn.VAR.P(L2:L21)</f>
        <v>191676553.05974564</v>
      </c>
      <c r="M24" s="62">
        <f>_xlfn.VAR.P(M2:M21)</f>
        <v>180331852.12238008</v>
      </c>
      <c r="N24" s="62">
        <f>_xlfn.VAR.P(N2:N21)</f>
        <v>185699563.08360505</v>
      </c>
      <c r="O24" s="62">
        <f>_xlfn.VAR.P(O2:O21)</f>
        <v>205913820.53243104</v>
      </c>
      <c r="P24" s="62">
        <f>_xlfn.VAR.P(P2:P21)</f>
        <v>214135825.38651717</v>
      </c>
      <c r="Q24" s="62">
        <f>_xlfn.VAR.P(Q2:Q21)</f>
        <v>222901138.19776094</v>
      </c>
      <c r="R24" s="62">
        <f>_xlfn.VAR.P(R2:R21)</f>
        <v>234895489.95174608</v>
      </c>
      <c r="S24" s="62">
        <f>_xlfn.VAR.P(S2:S21)</f>
        <v>230433696.13950363</v>
      </c>
      <c r="T24" s="62">
        <f>_xlfn.VAR.P(T2:T21)</f>
        <v>242100993.24428451</v>
      </c>
      <c r="U24" s="62">
        <f>_xlfn.VAR.P(U2:U21)</f>
        <v>258232934.39781249</v>
      </c>
      <c r="V24" s="62">
        <f>_xlfn.VAR.P(V2:V21)</f>
        <v>279063921.5410164</v>
      </c>
      <c r="W24" s="62">
        <f>_xlfn.VAR.P(W2:W21)</f>
        <v>308059926.49463624</v>
      </c>
      <c r="X24" s="62">
        <f>_xlfn.VAR.P(X2:X21)</f>
        <v>290496823.71987963</v>
      </c>
      <c r="Y24" s="62">
        <f>_xlfn.VAR.P(Y2:Y21)</f>
        <v>349119746.71118075</v>
      </c>
      <c r="Z24" s="62">
        <f>_xlfn.VAR.P(Z2:Z21)</f>
        <v>408864770.32944643</v>
      </c>
    </row>
    <row r="25" spans="1:26" ht="14.7" thickBot="1" x14ac:dyDescent="0.6">
      <c r="C25" s="59" t="s">
        <v>82</v>
      </c>
      <c r="D25" s="63">
        <f>_xlfn.STDEV.P(D2:D21)</f>
        <v>11178.032689827607</v>
      </c>
      <c r="E25" s="63">
        <f>_xlfn.STDEV.P(E2:E21)</f>
        <v>11463.144890944643</v>
      </c>
      <c r="F25" s="63">
        <f>_xlfn.STDEV.P(F2:F21)</f>
        <v>11620.670259684235</v>
      </c>
      <c r="G25" s="63">
        <f>_xlfn.STDEV.P(G2:G21)</f>
        <v>12064.087613440337</v>
      </c>
      <c r="H25" s="63">
        <f>_xlfn.STDEV.P(H2:H21)</f>
        <v>12707.387157382265</v>
      </c>
      <c r="I25" s="63">
        <f>_xlfn.STDEV.P(I2:I21)</f>
        <v>13169.496294905312</v>
      </c>
      <c r="J25" s="63">
        <f>_xlfn.STDEV.P(J2:J21)</f>
        <v>13539.475482867212</v>
      </c>
      <c r="K25" s="63">
        <f>_xlfn.STDEV.P(K2:K21)</f>
        <v>13737.306371162877</v>
      </c>
      <c r="L25" s="63">
        <f>_xlfn.STDEV.P(L2:L21)</f>
        <v>13844.730154818679</v>
      </c>
      <c r="M25" s="63">
        <f>_xlfn.STDEV.P(M2:M21)</f>
        <v>13428.769568444462</v>
      </c>
      <c r="N25" s="63">
        <f>_xlfn.STDEV.P(N2:N21)</f>
        <v>13627.162693811395</v>
      </c>
      <c r="O25" s="63">
        <f>_xlfn.STDEV.P(O2:O21)</f>
        <v>14349.697576340452</v>
      </c>
      <c r="P25" s="63">
        <f>_xlfn.STDEV.P(P2:P21)</f>
        <v>14633.380518066124</v>
      </c>
      <c r="Q25" s="63">
        <f>_xlfn.STDEV.P(Q2:Q21)</f>
        <v>14929.874018147673</v>
      </c>
      <c r="R25" s="63">
        <f>_xlfn.STDEV.P(R2:R21)</f>
        <v>15326.300595764984</v>
      </c>
      <c r="S25" s="63">
        <f>_xlfn.STDEV.P(S2:S21)</f>
        <v>15180.042692281982</v>
      </c>
      <c r="T25" s="63">
        <f>_xlfn.STDEV.P(T2:T21)</f>
        <v>15559.594893321757</v>
      </c>
      <c r="U25" s="63">
        <f>_xlfn.STDEV.P(U2:U21)</f>
        <v>16069.627699415207</v>
      </c>
      <c r="V25" s="63">
        <f>_xlfn.STDEV.P(V2:V21)</f>
        <v>16705.206420185787</v>
      </c>
      <c r="W25" s="63">
        <f>_xlfn.STDEV.P(W2:W21)</f>
        <v>17551.636006214241</v>
      </c>
      <c r="X25" s="63">
        <f>_xlfn.STDEV.P(X2:X21)</f>
        <v>17043.967370300838</v>
      </c>
      <c r="Y25" s="63">
        <f>_xlfn.STDEV.P(Y2:Y21)</f>
        <v>18684.746364646773</v>
      </c>
      <c r="Z25" s="63">
        <f>_xlfn.STDEV.P(Z2:Z21)</f>
        <v>20220.404801324985</v>
      </c>
    </row>
  </sheetData>
  <sortState ref="A2:Z21">
    <sortCondition ref="D2:D21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topLeftCell="B9" zoomScale="70" workbookViewId="0">
      <selection activeCell="T34" sqref="T34"/>
    </sheetView>
  </sheetViews>
  <sheetFormatPr defaultRowHeight="14.4" x14ac:dyDescent="0.55000000000000004"/>
  <cols>
    <col min="1" max="1" width="18.15625" bestFit="1" customWidth="1"/>
    <col min="2" max="2" width="14.26171875" customWidth="1"/>
    <col min="3" max="3" width="34.9453125" customWidth="1"/>
    <col min="4" max="4" width="11.20703125" customWidth="1"/>
    <col min="24" max="24" width="11.9453125" customWidth="1"/>
    <col min="25" max="25" width="31.68359375" customWidth="1"/>
    <col min="26" max="26" width="8.83984375" hidden="1" customWidth="1"/>
    <col min="27" max="27" width="9.5234375" hidden="1" customWidth="1"/>
  </cols>
  <sheetData>
    <row r="1" spans="1:27" ht="14.7" thickBot="1" x14ac:dyDescent="0.6">
      <c r="A1" s="3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23" t="s">
        <v>26</v>
      </c>
      <c r="Y1" s="24" t="s">
        <v>79</v>
      </c>
      <c r="Z1" s="5"/>
      <c r="AA1" s="6"/>
    </row>
    <row r="2" spans="1:27" x14ac:dyDescent="0.55000000000000004">
      <c r="A2" s="7" t="s">
        <v>29</v>
      </c>
      <c r="B2" s="20" t="s">
        <v>30</v>
      </c>
      <c r="C2" s="20" t="s">
        <v>73</v>
      </c>
      <c r="D2" s="8">
        <v>3.5679184901831298</v>
      </c>
      <c r="E2" s="9">
        <v>3.3418770665583293</v>
      </c>
      <c r="F2" s="9">
        <v>3.1004886679772286</v>
      </c>
      <c r="G2" s="9">
        <v>3.3348908793013168</v>
      </c>
      <c r="H2" s="9">
        <v>3.6560848700849129</v>
      </c>
      <c r="I2" s="9">
        <v>3.7367168647261524</v>
      </c>
      <c r="J2" s="9">
        <v>3.9242618414523487</v>
      </c>
      <c r="K2" s="9">
        <v>4.0831514387147738</v>
      </c>
      <c r="L2" s="9">
        <v>4.1523752097798443</v>
      </c>
      <c r="M2" s="9">
        <v>3.848348226779553</v>
      </c>
      <c r="N2" s="9">
        <v>4.0998441397127765</v>
      </c>
      <c r="O2" s="9">
        <v>4.2810281451299996</v>
      </c>
      <c r="P2" s="9">
        <v>4.2641110015076453</v>
      </c>
      <c r="Q2" s="9">
        <v>4.3422501302338343</v>
      </c>
      <c r="R2" s="9">
        <v>4.209111894913228</v>
      </c>
      <c r="S2" s="9">
        <v>4.3019138056447508</v>
      </c>
      <c r="T2" s="9">
        <v>4.2018158690470333</v>
      </c>
      <c r="U2" s="9">
        <v>4.070111686936289</v>
      </c>
      <c r="V2" s="9">
        <v>3.9756507444447862</v>
      </c>
      <c r="W2" s="9">
        <v>3.7420298116243296</v>
      </c>
      <c r="X2" s="18">
        <v>3.4056175404138016</v>
      </c>
      <c r="Y2" s="25">
        <f t="shared" ref="Y2:Y9" si="0">AVERAGE(D2:X2)</f>
        <v>3.8875999202460036</v>
      </c>
    </row>
    <row r="3" spans="1:27" x14ac:dyDescent="0.55000000000000004">
      <c r="A3" s="11" t="s">
        <v>0</v>
      </c>
      <c r="B3" s="21" t="s">
        <v>1</v>
      </c>
      <c r="C3" s="21" t="s">
        <v>73</v>
      </c>
      <c r="D3" s="12">
        <v>17.837318397658454</v>
      </c>
      <c r="E3" s="1">
        <v>17.930726915037493</v>
      </c>
      <c r="F3" s="1">
        <v>18.123210778442498</v>
      </c>
      <c r="G3" s="1">
        <v>17.894539134110452</v>
      </c>
      <c r="H3" s="1">
        <v>18.368871045309312</v>
      </c>
      <c r="I3" s="1">
        <v>18.278473085285292</v>
      </c>
      <c r="J3" s="1">
        <v>18.292749594322341</v>
      </c>
      <c r="K3" s="1">
        <v>18.454737655599853</v>
      </c>
      <c r="L3" s="1">
        <v>18.239289866879215</v>
      </c>
      <c r="M3" s="1">
        <v>18.157200836653619</v>
      </c>
      <c r="N3" s="1">
        <v>17.973751517696051</v>
      </c>
      <c r="O3" s="1">
        <v>17.656055338167945</v>
      </c>
      <c r="P3" s="1">
        <v>17.40561766541088</v>
      </c>
      <c r="Q3" s="1">
        <v>16.794588096598734</v>
      </c>
      <c r="R3" s="1">
        <v>16.155745139886434</v>
      </c>
      <c r="S3" s="1">
        <v>16.198458221040106</v>
      </c>
      <c r="T3" s="1">
        <v>16.320330610175137</v>
      </c>
      <c r="U3" s="1">
        <v>16.149150304961804</v>
      </c>
      <c r="V3" s="1">
        <v>15.865713521848793</v>
      </c>
      <c r="W3" s="1">
        <v>15.599045361511463</v>
      </c>
      <c r="X3" s="2">
        <v>14.776136906625878</v>
      </c>
      <c r="Y3" s="25">
        <f t="shared" si="0"/>
        <v>17.260557618724846</v>
      </c>
    </row>
    <row r="4" spans="1:27" x14ac:dyDescent="0.55000000000000004">
      <c r="A4" s="11" t="s">
        <v>31</v>
      </c>
      <c r="B4" s="21" t="s">
        <v>32</v>
      </c>
      <c r="C4" s="21" t="s">
        <v>73</v>
      </c>
      <c r="D4" s="12">
        <v>1.7835001158785975</v>
      </c>
      <c r="E4" s="1">
        <v>1.7921122778564915</v>
      </c>
      <c r="F4" s="1">
        <v>1.7606512442313533</v>
      </c>
      <c r="G4" s="1">
        <v>1.7018525364810346</v>
      </c>
      <c r="H4" s="1">
        <v>1.7784412442861517</v>
      </c>
      <c r="I4" s="1">
        <v>1.7756629224697607</v>
      </c>
      <c r="J4" s="1">
        <v>1.7774779565725749</v>
      </c>
      <c r="K4" s="1">
        <v>1.8479757356259952</v>
      </c>
      <c r="L4" s="1">
        <v>1.9392152739825099</v>
      </c>
      <c r="M4" s="1">
        <v>1.7993281418531548</v>
      </c>
      <c r="N4" s="1">
        <v>2.0266056689228629</v>
      </c>
      <c r="O4" s="1">
        <v>2.1106277598729295</v>
      </c>
      <c r="P4" s="1">
        <v>2.2714176835720994</v>
      </c>
      <c r="Q4" s="1">
        <v>2.4134465369818026</v>
      </c>
      <c r="R4" s="1">
        <v>2.5145919596342567</v>
      </c>
      <c r="S4" s="1">
        <v>2.3653606209967091</v>
      </c>
      <c r="T4" s="1">
        <v>2.1612598474893923</v>
      </c>
      <c r="U4" s="1">
        <v>2.1854866186396715</v>
      </c>
      <c r="V4" s="1">
        <v>2.064261478817718</v>
      </c>
      <c r="W4" s="1">
        <v>2.0507701288297726</v>
      </c>
      <c r="X4" s="2">
        <v>1.942523356314845</v>
      </c>
      <c r="Y4" s="25">
        <f t="shared" si="0"/>
        <v>2.0029794813956991</v>
      </c>
    </row>
    <row r="5" spans="1:27" x14ac:dyDescent="0.55000000000000004">
      <c r="A5" s="11" t="s">
        <v>37</v>
      </c>
      <c r="B5" s="21" t="s">
        <v>38</v>
      </c>
      <c r="C5" s="21" t="s">
        <v>73</v>
      </c>
      <c r="D5" s="12">
        <v>16.757466744314051</v>
      </c>
      <c r="E5" s="1">
        <v>16.331436784139935</v>
      </c>
      <c r="F5" s="1">
        <v>16.720410685189922</v>
      </c>
      <c r="G5" s="1">
        <v>17.20835918865955</v>
      </c>
      <c r="H5" s="1">
        <v>16.794185967695402</v>
      </c>
      <c r="I5" s="1">
        <v>17.027568099780446</v>
      </c>
      <c r="J5" s="1">
        <v>16.595213915224548</v>
      </c>
      <c r="K5" s="1">
        <v>17.380630772727375</v>
      </c>
      <c r="L5" s="1">
        <v>16.559426293731683</v>
      </c>
      <c r="M5" s="1">
        <v>15.504505872107902</v>
      </c>
      <c r="N5" s="1">
        <v>15.794537661922673</v>
      </c>
      <c r="O5" s="1">
        <v>15.998271719236907</v>
      </c>
      <c r="P5" s="1">
        <v>15.736823944952588</v>
      </c>
      <c r="Q5" s="1">
        <v>15.840809756213801</v>
      </c>
      <c r="R5" s="1">
        <v>15.852177224452053</v>
      </c>
      <c r="S5" s="1">
        <v>15.649907284863183</v>
      </c>
      <c r="T5" s="1">
        <v>15.421822525476477</v>
      </c>
      <c r="U5" s="1">
        <v>15.547194715064913</v>
      </c>
      <c r="V5" s="1">
        <v>15.636654162175919</v>
      </c>
      <c r="W5" s="1">
        <v>15.052746944714309</v>
      </c>
      <c r="X5" s="2">
        <v>13.599374917877329</v>
      </c>
      <c r="Y5" s="25">
        <f t="shared" si="0"/>
        <v>16.048072627643858</v>
      </c>
    </row>
    <row r="6" spans="1:27" x14ac:dyDescent="0.55000000000000004">
      <c r="A6" s="11" t="s">
        <v>33</v>
      </c>
      <c r="B6" s="21" t="s">
        <v>34</v>
      </c>
      <c r="C6" s="21" t="s">
        <v>73</v>
      </c>
      <c r="D6" s="12">
        <v>2.6504091015289331</v>
      </c>
      <c r="E6" s="1">
        <v>2.7747621967999372</v>
      </c>
      <c r="F6" s="1">
        <v>2.9648212277413308</v>
      </c>
      <c r="G6" s="1">
        <v>3.4340364793542375</v>
      </c>
      <c r="H6" s="1">
        <v>3.945154871438767</v>
      </c>
      <c r="I6" s="1">
        <v>4.4676963611818481</v>
      </c>
      <c r="J6" s="1">
        <v>4.9102761971594635</v>
      </c>
      <c r="K6" s="1">
        <v>5.3063680063131455</v>
      </c>
      <c r="L6" s="1">
        <v>5.4350790960665236</v>
      </c>
      <c r="M6" s="1">
        <v>5.7983199375028169</v>
      </c>
      <c r="N6" s="1">
        <v>6.3354197674375134</v>
      </c>
      <c r="O6" s="1">
        <v>6.9013473255342799</v>
      </c>
      <c r="P6" s="1">
        <v>7.0452002303960288</v>
      </c>
      <c r="Q6" s="1">
        <v>7.3201549250315425</v>
      </c>
      <c r="R6" s="1">
        <v>7.3047128715758172</v>
      </c>
      <c r="S6" s="1">
        <v>7.1451315350832685</v>
      </c>
      <c r="T6" s="1">
        <v>7.1054799357251452</v>
      </c>
      <c r="U6" s="1">
        <v>7.2261601544174789</v>
      </c>
      <c r="V6" s="1">
        <v>7.5331931335367424</v>
      </c>
      <c r="W6" s="1">
        <v>7.6454357856003758</v>
      </c>
      <c r="X6" s="2">
        <v>7.7561379065976892</v>
      </c>
      <c r="Y6" s="25">
        <f t="shared" si="0"/>
        <v>5.7621570021915653</v>
      </c>
    </row>
    <row r="7" spans="1:27" x14ac:dyDescent="0.55000000000000004">
      <c r="A7" s="11" t="s">
        <v>63</v>
      </c>
      <c r="B7" s="21" t="s">
        <v>64</v>
      </c>
      <c r="C7" s="21" t="s">
        <v>73</v>
      </c>
      <c r="D7" s="12">
        <v>7.8353804307566071</v>
      </c>
      <c r="E7" s="1">
        <v>7.9576099321593103</v>
      </c>
      <c r="F7" s="1">
        <v>7.920361392322647</v>
      </c>
      <c r="G7" s="1">
        <v>8.099947134228163</v>
      </c>
      <c r="H7" s="1">
        <v>8.079665765410919</v>
      </c>
      <c r="I7" s="1">
        <v>8.0118933685167733</v>
      </c>
      <c r="J7" s="1">
        <v>8.005532580745653</v>
      </c>
      <c r="K7" s="1">
        <v>7.8836852254008436</v>
      </c>
      <c r="L7" s="1">
        <v>7.6800309261214403</v>
      </c>
      <c r="M7" s="1">
        <v>7.1012753299225624</v>
      </c>
      <c r="N7" s="1">
        <v>7.2829443989582261</v>
      </c>
      <c r="O7" s="1">
        <v>7.0816778636784727</v>
      </c>
      <c r="P7" s="1">
        <v>6.9346787202759224</v>
      </c>
      <c r="Q7" s="1">
        <v>6.7443057558633139</v>
      </c>
      <c r="R7" s="1">
        <v>6.4020904191385366</v>
      </c>
      <c r="S7" s="1">
        <v>6.5171233958101906</v>
      </c>
      <c r="T7" s="1">
        <v>6.5259334614010269</v>
      </c>
      <c r="U7" s="1">
        <v>6.5711468777411515</v>
      </c>
      <c r="V7" s="1">
        <v>6.4159394686053348</v>
      </c>
      <c r="W7" s="1">
        <v>6.1018521069865388</v>
      </c>
      <c r="X7" s="2">
        <v>5.5060704358974748</v>
      </c>
      <c r="Y7" s="25">
        <f t="shared" si="0"/>
        <v>7.1742449995210045</v>
      </c>
    </row>
    <row r="8" spans="1:27" x14ac:dyDescent="0.55000000000000004">
      <c r="A8" s="11" t="s">
        <v>35</v>
      </c>
      <c r="B8" s="21" t="s">
        <v>36</v>
      </c>
      <c r="C8" s="21" t="s">
        <v>73</v>
      </c>
      <c r="D8" s="12">
        <v>6.1265154448887769</v>
      </c>
      <c r="E8" s="1">
        <v>6.1410516608593468</v>
      </c>
      <c r="F8" s="1">
        <v>6.0043644845785984</v>
      </c>
      <c r="G8" s="1">
        <v>6.0529559983404271</v>
      </c>
      <c r="H8" s="1">
        <v>6.0263195348271941</v>
      </c>
      <c r="I8" s="1">
        <v>6.0266778417144478</v>
      </c>
      <c r="J8" s="1">
        <v>5.8423881803087463</v>
      </c>
      <c r="K8" s="1">
        <v>5.6707646029660213</v>
      </c>
      <c r="L8" s="1">
        <v>5.5640399420338982</v>
      </c>
      <c r="M8" s="1">
        <v>5.3141373647543872</v>
      </c>
      <c r="N8" s="1">
        <v>5.3504078658384921</v>
      </c>
      <c r="O8" s="1">
        <v>5.1271054462381365</v>
      </c>
      <c r="P8" s="1">
        <v>5.1523584940142158</v>
      </c>
      <c r="Q8" s="1">
        <v>5.127899427851661</v>
      </c>
      <c r="R8" s="1">
        <v>4.6148071360827894</v>
      </c>
      <c r="S8" s="1">
        <v>4.6759350866390639</v>
      </c>
      <c r="T8" s="1">
        <v>4.7034756734987404</v>
      </c>
      <c r="U8" s="1">
        <v>4.7479169288033329</v>
      </c>
      <c r="V8" s="1">
        <v>4.5705174284513372</v>
      </c>
      <c r="W8" s="1">
        <v>4.4601649483563097</v>
      </c>
      <c r="X8" s="2">
        <v>3.9536824518799136</v>
      </c>
      <c r="Y8" s="25">
        <f t="shared" si="0"/>
        <v>5.2977850449012305</v>
      </c>
    </row>
    <row r="9" spans="1:27" x14ac:dyDescent="0.55000000000000004">
      <c r="A9" s="11" t="s">
        <v>53</v>
      </c>
      <c r="B9" s="21" t="s">
        <v>54</v>
      </c>
      <c r="C9" s="21" t="s">
        <v>73</v>
      </c>
      <c r="D9" s="12">
        <v>10.099365894127621</v>
      </c>
      <c r="E9" s="1">
        <v>10.293612289264379</v>
      </c>
      <c r="F9" s="1">
        <v>10.103011335095882</v>
      </c>
      <c r="G9" s="1">
        <v>10.138763607453958</v>
      </c>
      <c r="H9" s="1">
        <v>9.9504461302536011</v>
      </c>
      <c r="I9" s="1">
        <v>9.7294631214948968</v>
      </c>
      <c r="J9" s="1">
        <v>9.8864795716921581</v>
      </c>
      <c r="K9" s="1">
        <v>9.5276232674998713</v>
      </c>
      <c r="L9" s="1">
        <v>9.617457887061077</v>
      </c>
      <c r="M9" s="1">
        <v>8.9717314067844267</v>
      </c>
      <c r="N9" s="1">
        <v>9.4533886268413365</v>
      </c>
      <c r="O9" s="1">
        <v>9.29900290355714</v>
      </c>
      <c r="P9" s="1">
        <v>9.4512890468027901</v>
      </c>
      <c r="Q9" s="1">
        <v>9.6242293674900203</v>
      </c>
      <c r="R9" s="1">
        <v>9.0885277683450116</v>
      </c>
      <c r="S9" s="1">
        <v>9.0873448036667845</v>
      </c>
      <c r="T9" s="1">
        <v>9.0729723876897133</v>
      </c>
      <c r="U9" s="1">
        <v>8.8583445114546961</v>
      </c>
      <c r="V9" s="1">
        <v>8.5370426878067445</v>
      </c>
      <c r="W9" s="1">
        <v>7.9271876239048984</v>
      </c>
      <c r="X9" s="2">
        <v>7.2552210281684033</v>
      </c>
      <c r="Y9" s="25">
        <f t="shared" si="0"/>
        <v>9.3320240603074005</v>
      </c>
    </row>
    <row r="10" spans="1:27" x14ac:dyDescent="0.55000000000000004">
      <c r="A10" s="11" t="s">
        <v>49</v>
      </c>
      <c r="B10" s="21" t="s">
        <v>50</v>
      </c>
      <c r="C10" s="21" t="s">
        <v>73</v>
      </c>
      <c r="D10" s="12">
        <v>0.88507794922617944</v>
      </c>
      <c r="E10" s="1">
        <v>0.88374699800872392</v>
      </c>
      <c r="F10" s="1">
        <v>0.89724264850505897</v>
      </c>
      <c r="G10" s="1">
        <v>0.90545660173600495</v>
      </c>
      <c r="H10" s="1">
        <v>0.95547015742899366</v>
      </c>
      <c r="I10" s="1">
        <v>0.98426147261875141</v>
      </c>
      <c r="J10" s="1">
        <v>1.0365339215516476</v>
      </c>
      <c r="K10" s="1">
        <v>1.1235994817209001</v>
      </c>
      <c r="L10" s="1">
        <v>1.1803612466615137</v>
      </c>
      <c r="M10" s="1">
        <v>1.2788736028408876</v>
      </c>
      <c r="N10" s="1">
        <v>1.3380338352242174</v>
      </c>
      <c r="O10" s="1">
        <v>1.396878497731993</v>
      </c>
      <c r="P10" s="1">
        <v>1.4982041228244098</v>
      </c>
      <c r="Q10" s="1">
        <v>1.5276744002600142</v>
      </c>
      <c r="R10" s="1">
        <v>1.6424652773733281</v>
      </c>
      <c r="S10" s="1">
        <v>1.6313234871722753</v>
      </c>
      <c r="T10" s="1">
        <v>1.6399140187692798</v>
      </c>
      <c r="U10" s="1">
        <v>1.704926720782332</v>
      </c>
      <c r="V10" s="1">
        <v>1.7955952985843264</v>
      </c>
      <c r="W10" s="1">
        <v>1.7525343662503698</v>
      </c>
      <c r="X10" s="2">
        <v>1.5760932319164813</v>
      </c>
      <c r="Y10" s="25">
        <f t="shared" ref="Y10:Y20" si="1">AVERAGE(D10:X10)</f>
        <v>1.3159174922470327</v>
      </c>
    </row>
    <row r="11" spans="1:27" x14ac:dyDescent="0.55000000000000004">
      <c r="A11" s="11" t="s">
        <v>51</v>
      </c>
      <c r="B11" s="21" t="s">
        <v>52</v>
      </c>
      <c r="C11" s="21" t="s">
        <v>73</v>
      </c>
      <c r="D11" s="12">
        <v>1.3109381334086001</v>
      </c>
      <c r="E11" s="1">
        <v>1.3912376654866621</v>
      </c>
      <c r="F11" s="1">
        <v>1.3885145140343216</v>
      </c>
      <c r="G11" s="1">
        <v>1.4966734754460707</v>
      </c>
      <c r="H11" s="1">
        <v>1.510301504707507</v>
      </c>
      <c r="I11" s="1">
        <v>1.4953689153072536</v>
      </c>
      <c r="J11" s="1">
        <v>1.5723513617776266</v>
      </c>
      <c r="K11" s="1">
        <v>1.6178121777937333</v>
      </c>
      <c r="L11" s="1">
        <v>1.5808324154730617</v>
      </c>
      <c r="M11" s="1">
        <v>1.6228757236469207</v>
      </c>
      <c r="N11" s="1">
        <v>1.7029059791049175</v>
      </c>
      <c r="O11" s="1">
        <v>1.9255422235503592</v>
      </c>
      <c r="P11" s="1">
        <v>1.925450047606593</v>
      </c>
      <c r="Q11" s="1">
        <v>1.7704020324585301</v>
      </c>
      <c r="R11" s="1">
        <v>1.891427826762091</v>
      </c>
      <c r="S11" s="1">
        <v>1.8875644814464916</v>
      </c>
      <c r="T11" s="1">
        <v>1.8483038518567843</v>
      </c>
      <c r="U11" s="1">
        <v>1.9485744308636923</v>
      </c>
      <c r="V11" s="1">
        <v>2.1268368383715832</v>
      </c>
      <c r="W11" s="1">
        <v>2.2452857707083309</v>
      </c>
      <c r="X11" s="2">
        <v>2.0716589622147183</v>
      </c>
      <c r="Y11" s="25">
        <f t="shared" si="1"/>
        <v>1.7300408729536119</v>
      </c>
    </row>
    <row r="12" spans="1:27" x14ac:dyDescent="0.55000000000000004">
      <c r="A12" s="11" t="s">
        <v>39</v>
      </c>
      <c r="B12" s="21" t="s">
        <v>40</v>
      </c>
      <c r="C12" s="21" t="s">
        <v>73</v>
      </c>
      <c r="D12" s="12">
        <v>7.6621083293930736</v>
      </c>
      <c r="E12" s="1">
        <v>7.662629159565487</v>
      </c>
      <c r="F12" s="1">
        <v>7.7721839778950228</v>
      </c>
      <c r="G12" s="1">
        <v>8.0644210375050935</v>
      </c>
      <c r="H12" s="1">
        <v>8.1893407659802282</v>
      </c>
      <c r="I12" s="1">
        <v>8.1738143468725717</v>
      </c>
      <c r="J12" s="1">
        <v>8.0258439141222162</v>
      </c>
      <c r="K12" s="1">
        <v>7.8607868708044419</v>
      </c>
      <c r="L12" s="1">
        <v>7.5643247964943008</v>
      </c>
      <c r="M12" s="1">
        <v>6.718921187812275</v>
      </c>
      <c r="N12" s="1">
        <v>6.8368751627622366</v>
      </c>
      <c r="O12" s="1">
        <v>6.6805503702131022</v>
      </c>
      <c r="P12" s="1">
        <v>6.3276619201935409</v>
      </c>
      <c r="Q12" s="1">
        <v>5.7518776620785346</v>
      </c>
      <c r="R12" s="1">
        <v>5.3874425596414097</v>
      </c>
      <c r="S12" s="1">
        <v>5.5632942888642161</v>
      </c>
      <c r="T12" s="1">
        <v>5.4982443774935259</v>
      </c>
      <c r="U12" s="1">
        <v>5.4379120609281886</v>
      </c>
      <c r="V12" s="1">
        <v>5.3769403605588453</v>
      </c>
      <c r="W12" s="1">
        <v>5.3110309867315717</v>
      </c>
      <c r="X12" s="2">
        <v>4.7323727707993539</v>
      </c>
      <c r="Y12" s="25">
        <f t="shared" si="1"/>
        <v>6.6951703288909137</v>
      </c>
    </row>
    <row r="13" spans="1:27" x14ac:dyDescent="0.55000000000000004">
      <c r="A13" s="11" t="s">
        <v>43</v>
      </c>
      <c r="B13" s="21" t="s">
        <v>44</v>
      </c>
      <c r="C13" s="21" t="s">
        <v>73</v>
      </c>
      <c r="D13" s="12">
        <v>9.3377238002885452</v>
      </c>
      <c r="E13" s="1">
        <v>9.2202022823616403</v>
      </c>
      <c r="F13" s="1">
        <v>9.4688704931539096</v>
      </c>
      <c r="G13" s="1">
        <v>9.5047644028249731</v>
      </c>
      <c r="H13" s="1">
        <v>9.4495636383559916</v>
      </c>
      <c r="I13" s="1">
        <v>9.5127640424815869</v>
      </c>
      <c r="J13" s="1">
        <v>9.3312942887981603</v>
      </c>
      <c r="K13" s="1">
        <v>9.5936031749751969</v>
      </c>
      <c r="L13" s="1">
        <v>9.0489532495724774</v>
      </c>
      <c r="M13" s="1">
        <v>8.6092309854975131</v>
      </c>
      <c r="N13" s="1">
        <v>9.0360099945342398</v>
      </c>
      <c r="O13" s="1">
        <v>9.495009895723328</v>
      </c>
      <c r="P13" s="1">
        <v>9.8278557381159448</v>
      </c>
      <c r="Q13" s="1">
        <v>9.944495272470478</v>
      </c>
      <c r="R13" s="1">
        <v>9.5643059178478271</v>
      </c>
      <c r="S13" s="1">
        <v>9.2680496456689827</v>
      </c>
      <c r="T13" s="1">
        <v>9.1667144071264435</v>
      </c>
      <c r="U13" s="1">
        <v>9.0636912075103169</v>
      </c>
      <c r="V13" s="1">
        <v>8.7619788504151845</v>
      </c>
      <c r="W13" s="1">
        <v>8.4784005748896423</v>
      </c>
      <c r="X13" s="2">
        <v>8.0314958696668022</v>
      </c>
      <c r="Y13" s="25">
        <f t="shared" si="1"/>
        <v>9.2245227491561508</v>
      </c>
    </row>
    <row r="14" spans="1:27" x14ac:dyDescent="0.55000000000000004">
      <c r="A14" s="11" t="s">
        <v>65</v>
      </c>
      <c r="B14" s="21" t="s">
        <v>66</v>
      </c>
      <c r="C14" s="21" t="s">
        <v>73</v>
      </c>
      <c r="D14" s="12">
        <v>9.5140453527264679</v>
      </c>
      <c r="E14" s="1">
        <v>9.6405408264999881</v>
      </c>
      <c r="F14" s="1">
        <v>9.6757824411074509</v>
      </c>
      <c r="G14" s="1">
        <v>9.6866011739249274</v>
      </c>
      <c r="H14" s="1">
        <v>10.105743419973484</v>
      </c>
      <c r="I14" s="1">
        <v>9.9824941852225226</v>
      </c>
      <c r="J14" s="1">
        <v>10.071620609578884</v>
      </c>
      <c r="K14" s="1">
        <v>10.34626459099051</v>
      </c>
      <c r="L14" s="1">
        <v>10.496943534961007</v>
      </c>
      <c r="M14" s="1">
        <v>10.680645378163531</v>
      </c>
      <c r="N14" s="1">
        <v>11.607829840639662</v>
      </c>
      <c r="O14" s="1">
        <v>11.984803622542632</v>
      </c>
      <c r="P14" s="1">
        <v>11.958527049870048</v>
      </c>
      <c r="Q14" s="1">
        <v>11.890036927838175</v>
      </c>
      <c r="R14" s="1">
        <v>11.588715623623616</v>
      </c>
      <c r="S14" s="1">
        <v>11.914686493744666</v>
      </c>
      <c r="T14" s="1">
        <v>12.016204599795113</v>
      </c>
      <c r="U14" s="1">
        <v>12.191493420094902</v>
      </c>
      <c r="V14" s="1">
        <v>12.216456168373409</v>
      </c>
      <c r="W14" s="1">
        <v>11.825283587375225</v>
      </c>
      <c r="X14" s="2">
        <v>10.990029581428546</v>
      </c>
      <c r="Y14" s="25">
        <f t="shared" si="1"/>
        <v>10.970702306117847</v>
      </c>
    </row>
    <row r="15" spans="1:27" x14ac:dyDescent="0.55000000000000004">
      <c r="A15" s="11" t="s">
        <v>45</v>
      </c>
      <c r="B15" s="21" t="s">
        <v>46</v>
      </c>
      <c r="C15" s="21" t="s">
        <v>73</v>
      </c>
      <c r="D15" s="12">
        <v>3.8741459608623958</v>
      </c>
      <c r="E15" s="1">
        <v>3.8113920590688268</v>
      </c>
      <c r="F15" s="1">
        <v>3.8249679457137686</v>
      </c>
      <c r="G15" s="1">
        <v>3.9509401900769818</v>
      </c>
      <c r="H15" s="1">
        <v>3.9838256881015495</v>
      </c>
      <c r="I15" s="1">
        <v>4.0988007841475387</v>
      </c>
      <c r="J15" s="1">
        <v>4.1941833972186835</v>
      </c>
      <c r="K15" s="1">
        <v>4.2207613266535171</v>
      </c>
      <c r="L15" s="1">
        <v>4.1897273186913413</v>
      </c>
      <c r="M15" s="1">
        <v>4.0375939622129344</v>
      </c>
      <c r="N15" s="1">
        <v>4.1132109142503763</v>
      </c>
      <c r="O15" s="1">
        <v>4.1909897865432555</v>
      </c>
      <c r="P15" s="1">
        <v>4.2024135459037346</v>
      </c>
      <c r="Q15" s="1">
        <v>4.0560552267551744</v>
      </c>
      <c r="R15" s="1">
        <v>3.8923552480391983</v>
      </c>
      <c r="S15" s="1">
        <v>3.9253683255342282</v>
      </c>
      <c r="T15" s="1">
        <v>3.920323024453884</v>
      </c>
      <c r="U15" s="1">
        <v>3.862759411978864</v>
      </c>
      <c r="V15" s="1">
        <v>3.5874893049253584</v>
      </c>
      <c r="W15" s="1">
        <v>3.6121651406374964</v>
      </c>
      <c r="X15" s="2">
        <v>3.0407663747722569</v>
      </c>
      <c r="Y15" s="25">
        <f t="shared" si="1"/>
        <v>3.9328683303114929</v>
      </c>
    </row>
    <row r="16" spans="1:27" x14ac:dyDescent="0.55000000000000004">
      <c r="A16" s="11" t="s">
        <v>47</v>
      </c>
      <c r="B16" s="21" t="s">
        <v>48</v>
      </c>
      <c r="C16" s="21" t="s">
        <v>73</v>
      </c>
      <c r="D16" s="12">
        <v>10.667660303167866</v>
      </c>
      <c r="E16" s="1">
        <v>10.735784138160009</v>
      </c>
      <c r="F16" s="1">
        <v>10.772638748561944</v>
      </c>
      <c r="G16" s="1">
        <v>11.130398079572389</v>
      </c>
      <c r="H16" s="1">
        <v>11.112711366122765</v>
      </c>
      <c r="I16" s="1">
        <v>11.231852152847361</v>
      </c>
      <c r="J16" s="1">
        <v>11.568369096944998</v>
      </c>
      <c r="K16" s="1">
        <v>11.611269047409605</v>
      </c>
      <c r="L16" s="1">
        <v>11.595654089130063</v>
      </c>
      <c r="M16" s="1">
        <v>10.832108551977555</v>
      </c>
      <c r="N16" s="1">
        <v>11.325400945840414</v>
      </c>
      <c r="O16" s="1">
        <v>11.884949695478991</v>
      </c>
      <c r="P16" s="1">
        <v>11.702065368334505</v>
      </c>
      <c r="Q16" s="1">
        <v>11.377004305608935</v>
      </c>
      <c r="R16" s="1">
        <v>11.208207706391088</v>
      </c>
      <c r="S16" s="1">
        <v>11.05200550157682</v>
      </c>
      <c r="T16" s="1">
        <v>10.887426928347324</v>
      </c>
      <c r="U16" s="1">
        <v>11.035199209582164</v>
      </c>
      <c r="V16" s="1">
        <v>11.49657124971654</v>
      </c>
      <c r="W16" s="1">
        <v>11.797194167363697</v>
      </c>
      <c r="X16" s="2">
        <v>11.232288067243402</v>
      </c>
      <c r="Y16" s="25">
        <f t="shared" si="1"/>
        <v>11.250321843779924</v>
      </c>
    </row>
    <row r="17" spans="1:25" x14ac:dyDescent="0.55000000000000004">
      <c r="A17" s="11" t="s">
        <v>57</v>
      </c>
      <c r="B17" s="21" t="s">
        <v>58</v>
      </c>
      <c r="C17" s="21" t="s">
        <v>73</v>
      </c>
      <c r="D17" s="12">
        <v>6.0765531719149868</v>
      </c>
      <c r="E17" s="1">
        <v>6.7837230604445322</v>
      </c>
      <c r="F17" s="1">
        <v>6.950513573698057</v>
      </c>
      <c r="G17" s="1">
        <v>7.3389561726697101</v>
      </c>
      <c r="H17" s="1">
        <v>7.8247640753305596</v>
      </c>
      <c r="I17" s="1">
        <v>7.7042978449969768</v>
      </c>
      <c r="J17" s="1">
        <v>7.672712198775085</v>
      </c>
      <c r="K17" s="1">
        <v>7.94385857423182</v>
      </c>
      <c r="L17" s="1">
        <v>8.4466496849689676</v>
      </c>
      <c r="M17" s="1">
        <v>7.9020489408613459</v>
      </c>
      <c r="N17" s="1">
        <v>8.2176122273122729</v>
      </c>
      <c r="O17" s="1">
        <v>7.8080537418251037</v>
      </c>
      <c r="P17" s="1">
        <v>8.0346492587557528</v>
      </c>
      <c r="Q17" s="1">
        <v>8.1164349539856389</v>
      </c>
      <c r="R17" s="1">
        <v>8.1911525274526742</v>
      </c>
      <c r="S17" s="1">
        <v>7.6071885241782482</v>
      </c>
      <c r="T17" s="1">
        <v>7.5445895711328479</v>
      </c>
      <c r="U17" s="1">
        <v>7.683707810686033</v>
      </c>
      <c r="V17" s="1">
        <v>7.6673770246357513</v>
      </c>
      <c r="W17" s="1">
        <v>7.6889076232217315</v>
      </c>
      <c r="X17" s="2">
        <v>6.6875631473778059</v>
      </c>
      <c r="Y17" s="25">
        <f t="shared" si="1"/>
        <v>7.6138720813550442</v>
      </c>
    </row>
    <row r="18" spans="1:25" x14ac:dyDescent="0.55000000000000004">
      <c r="A18" s="11" t="s">
        <v>59</v>
      </c>
      <c r="B18" s="21" t="s">
        <v>60</v>
      </c>
      <c r="C18" s="21" t="s">
        <v>73</v>
      </c>
      <c r="D18" s="12">
        <v>3.3752071149643306</v>
      </c>
      <c r="E18" s="1">
        <v>3.0392648957037109</v>
      </c>
      <c r="F18" s="1">
        <v>3.1536871719919528</v>
      </c>
      <c r="G18" s="1">
        <v>3.2775139942411635</v>
      </c>
      <c r="H18" s="1">
        <v>3.3134314596539136</v>
      </c>
      <c r="I18" s="1">
        <v>3.420478492633293</v>
      </c>
      <c r="J18" s="1">
        <v>3.7511293066757787</v>
      </c>
      <c r="K18" s="1">
        <v>4.1188081001951709</v>
      </c>
      <c r="L18" s="1">
        <v>4.0421986937451351</v>
      </c>
      <c r="M18" s="1">
        <v>4.0020874188979816</v>
      </c>
      <c r="N18" s="1">
        <v>4.0717151464647952</v>
      </c>
      <c r="O18" s="1">
        <v>4.2929886923206091</v>
      </c>
      <c r="P18" s="1">
        <v>4.3870192475567977</v>
      </c>
      <c r="Q18" s="1">
        <v>4.1903946996428934</v>
      </c>
      <c r="R18" s="1">
        <v>4.4268354475513965</v>
      </c>
      <c r="S18" s="1">
        <v>4.5182903646080872</v>
      </c>
      <c r="T18" s="1">
        <v>4.7478390022185488</v>
      </c>
      <c r="U18" s="1">
        <v>5.2058791500193404</v>
      </c>
      <c r="V18" s="1">
        <v>5.086919580237641</v>
      </c>
      <c r="W18" s="1">
        <v>4.8289610585879492</v>
      </c>
      <c r="X18" s="2">
        <v>4.8858639260833048</v>
      </c>
      <c r="Y18" s="25">
        <f t="shared" si="1"/>
        <v>4.1017387125711329</v>
      </c>
    </row>
    <row r="19" spans="1:25" x14ac:dyDescent="0.55000000000000004">
      <c r="A19" s="11" t="s">
        <v>41</v>
      </c>
      <c r="B19" s="21" t="s">
        <v>42</v>
      </c>
      <c r="C19" s="21" t="s">
        <v>73</v>
      </c>
      <c r="D19" s="12">
        <v>9.0145277207897756</v>
      </c>
      <c r="E19" s="1">
        <v>9.2230246266754552</v>
      </c>
      <c r="F19" s="1">
        <v>8.940232737552952</v>
      </c>
      <c r="G19" s="1">
        <v>9.1040931972810899</v>
      </c>
      <c r="H19" s="1">
        <v>9.0530899520495005</v>
      </c>
      <c r="I19" s="1">
        <v>8.9554006587219472</v>
      </c>
      <c r="J19" s="1">
        <v>8.9086134657489087</v>
      </c>
      <c r="K19" s="1">
        <v>8.6510305367219189</v>
      </c>
      <c r="L19" s="1">
        <v>8.3378200153558666</v>
      </c>
      <c r="M19" s="1">
        <v>7.4906942885307677</v>
      </c>
      <c r="N19" s="1">
        <v>7.6895674936727652</v>
      </c>
      <c r="O19" s="1">
        <v>7.0448432400166876</v>
      </c>
      <c r="P19" s="1">
        <v>7.3442609259639084</v>
      </c>
      <c r="Q19" s="1">
        <v>7.076100427653806</v>
      </c>
      <c r="R19" s="1">
        <v>6.4333469995138568</v>
      </c>
      <c r="S19" s="1">
        <v>6.1593763605961209</v>
      </c>
      <c r="T19" s="1">
        <v>5.824502691163131</v>
      </c>
      <c r="U19" s="1">
        <v>5.5532914972085718</v>
      </c>
      <c r="V19" s="1">
        <v>5.4251284043910459</v>
      </c>
      <c r="W19" s="1">
        <v>5.1758424726122367</v>
      </c>
      <c r="X19" s="2">
        <v>4.6011422509013471</v>
      </c>
      <c r="Y19" s="25">
        <f>AVERAGE(D19:X19)</f>
        <v>7.4288538077676973</v>
      </c>
    </row>
    <row r="20" spans="1:25" x14ac:dyDescent="0.55000000000000004">
      <c r="A20" s="11" t="s">
        <v>55</v>
      </c>
      <c r="B20" s="21" t="s">
        <v>56</v>
      </c>
      <c r="C20" s="21" t="s">
        <v>73</v>
      </c>
      <c r="D20" s="12">
        <v>20.469796737028872</v>
      </c>
      <c r="E20" s="1">
        <v>20.171536931101844</v>
      </c>
      <c r="F20" s="1">
        <v>19.445530280791505</v>
      </c>
      <c r="G20" s="1">
        <v>19.506505532201356</v>
      </c>
      <c r="H20" s="1">
        <v>19.597616707058354</v>
      </c>
      <c r="I20" s="1">
        <v>19.469272519612343</v>
      </c>
      <c r="J20" s="1">
        <v>18.94591684174771</v>
      </c>
      <c r="K20" s="1">
        <v>19.042911779057473</v>
      </c>
      <c r="L20" s="1">
        <v>18.278491260822978</v>
      </c>
      <c r="M20" s="1">
        <v>16.808681421019354</v>
      </c>
      <c r="N20" s="1">
        <v>17.431736987917677</v>
      </c>
      <c r="O20" s="1">
        <v>16.604189616843005</v>
      </c>
      <c r="P20" s="1">
        <v>15.789760151839031</v>
      </c>
      <c r="Q20" s="1">
        <v>16.111175263849553</v>
      </c>
      <c r="R20" s="1">
        <v>16.040916756824693</v>
      </c>
      <c r="S20" s="1">
        <v>15.560015443585261</v>
      </c>
      <c r="T20" s="1">
        <v>15.149882724969256</v>
      </c>
      <c r="U20" s="1">
        <v>14.823245435942765</v>
      </c>
      <c r="V20" s="1">
        <v>15.222518099850381</v>
      </c>
      <c r="W20" s="1">
        <v>14.67338071345565</v>
      </c>
      <c r="X20" s="2">
        <v>13.032827951989795</v>
      </c>
      <c r="Y20" s="25">
        <f t="shared" si="1"/>
        <v>17.246471864643276</v>
      </c>
    </row>
    <row r="21" spans="1:25" ht="14.7" thickBot="1" x14ac:dyDescent="0.6">
      <c r="A21" s="13" t="s">
        <v>61</v>
      </c>
      <c r="B21" s="22" t="s">
        <v>62</v>
      </c>
      <c r="C21" s="22" t="s">
        <v>73</v>
      </c>
      <c r="D21" s="14">
        <v>11.586312773844069</v>
      </c>
      <c r="E21" s="15">
        <v>11.504347405988673</v>
      </c>
      <c r="F21" s="15">
        <v>12.034045257977189</v>
      </c>
      <c r="G21" s="15">
        <v>12.303148131038142</v>
      </c>
      <c r="H21" s="15">
        <v>12.673985014162909</v>
      </c>
      <c r="I21" s="15">
        <v>12.923100279682744</v>
      </c>
      <c r="J21" s="15">
        <v>13.214987115326203</v>
      </c>
      <c r="K21" s="15">
        <v>13.432442674011297</v>
      </c>
      <c r="L21" s="15">
        <v>14.203753547217183</v>
      </c>
      <c r="M21" s="15">
        <v>14.272208863165259</v>
      </c>
      <c r="N21" s="15">
        <v>15.168386269394299</v>
      </c>
      <c r="O21" s="15">
        <v>15.381398493480054</v>
      </c>
      <c r="P21" s="15">
        <v>15.978015766439725</v>
      </c>
      <c r="Q21" s="15">
        <v>15.983919065126281</v>
      </c>
      <c r="R21" s="15">
        <v>16.825236126593762</v>
      </c>
      <c r="S21" s="15">
        <v>17.257793074337322</v>
      </c>
      <c r="T21" s="15">
        <v>16.795103103967019</v>
      </c>
      <c r="U21" s="15">
        <v>16.077791902125814</v>
      </c>
      <c r="V21" s="15">
        <v>15.065500493701363</v>
      </c>
      <c r="W21" s="15">
        <v>14.70301664967686</v>
      </c>
      <c r="X21" s="19">
        <v>14.266585367540786</v>
      </c>
      <c r="Y21" s="25">
        <f>AVERAGE(D21:X21)</f>
        <v>14.364337017847472</v>
      </c>
    </row>
    <row r="22" spans="1:25" ht="14.7" thickBot="1" x14ac:dyDescent="0.6">
      <c r="A22" s="16"/>
      <c r="B22" s="16"/>
      <c r="C22" s="17" t="s">
        <v>78</v>
      </c>
      <c r="D22" s="10">
        <f>AVERAGE(D2:D21)</f>
        <v>8.0215985983475662</v>
      </c>
      <c r="E22" s="10">
        <f t="shared" ref="D22:Q22" si="2">AVERAGE(E2:E21)</f>
        <v>8.0315309585870391</v>
      </c>
      <c r="F22" s="10">
        <f t="shared" si="2"/>
        <v>8.0510764803281312</v>
      </c>
      <c r="G22" s="10">
        <f t="shared" si="2"/>
        <v>8.2067408473223526</v>
      </c>
      <c r="H22" s="10">
        <f t="shared" si="2"/>
        <v>8.3184506589116012</v>
      </c>
      <c r="I22" s="10">
        <f t="shared" si="2"/>
        <v>8.3503028680157261</v>
      </c>
      <c r="J22" s="10">
        <f t="shared" si="2"/>
        <v>8.3763967677871882</v>
      </c>
      <c r="K22" s="10">
        <f t="shared" si="2"/>
        <v>8.4859042519706751</v>
      </c>
      <c r="L22" s="10">
        <f t="shared" si="2"/>
        <v>8.4076312174375065</v>
      </c>
      <c r="M22" s="10">
        <f t="shared" si="2"/>
        <v>8.0375408720492381</v>
      </c>
      <c r="N22" s="10">
        <f t="shared" si="2"/>
        <v>8.3428092222223889</v>
      </c>
      <c r="O22" s="10">
        <f t="shared" si="2"/>
        <v>8.3572657188842463</v>
      </c>
      <c r="P22" s="10">
        <f t="shared" si="2"/>
        <v>8.361868996516808</v>
      </c>
      <c r="Q22" s="10">
        <f t="shared" si="2"/>
        <v>8.3001627116996364</v>
      </c>
      <c r="R22" s="10">
        <f t="shared" ref="R22:X22" si="3">AVERAGE(R2:R21)</f>
        <v>8.1617086215821537</v>
      </c>
      <c r="S22" s="10">
        <f t="shared" si="3"/>
        <v>8.1143065372528369</v>
      </c>
      <c r="T22" s="10">
        <f t="shared" si="3"/>
        <v>8.0276069305897906</v>
      </c>
      <c r="U22" s="10">
        <f t="shared" si="3"/>
        <v>7.997199202787117</v>
      </c>
      <c r="V22" s="10">
        <f>AVERAGE(V2:V21)</f>
        <v>7.9214142149724411</v>
      </c>
      <c r="W22" s="10">
        <f t="shared" si="3"/>
        <v>7.7335617911519394</v>
      </c>
      <c r="X22" s="10">
        <f t="shared" si="3"/>
        <v>7.1671726022854969</v>
      </c>
      <c r="Y22" s="26">
        <f>AVERAGE(Y2:Y21)</f>
        <v>8.1320119081286606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opLeftCell="D1" zoomScale="30" zoomScaleNormal="70" workbookViewId="0">
      <selection activeCell="C22" sqref="C22:Z25"/>
    </sheetView>
  </sheetViews>
  <sheetFormatPr defaultRowHeight="14.4" x14ac:dyDescent="0.55000000000000004"/>
  <cols>
    <col min="1" max="1" width="19.7890625" customWidth="1"/>
    <col min="2" max="2" width="12.578125" customWidth="1"/>
    <col min="3" max="3" width="37.5234375" customWidth="1"/>
    <col min="4" max="26" width="17.578125" bestFit="1" customWidth="1"/>
  </cols>
  <sheetData>
    <row r="1" spans="1:27" ht="14.7" thickBot="1" x14ac:dyDescent="0.6">
      <c r="A1" s="64" t="s">
        <v>3</v>
      </c>
      <c r="B1" s="65" t="s">
        <v>4</v>
      </c>
      <c r="C1" s="65" t="s">
        <v>5</v>
      </c>
      <c r="D1" s="65" t="s">
        <v>6</v>
      </c>
      <c r="E1" s="65" t="s">
        <v>7</v>
      </c>
      <c r="F1" s="65" t="s">
        <v>8</v>
      </c>
      <c r="G1" s="65" t="s">
        <v>9</v>
      </c>
      <c r="H1" s="65" t="s">
        <v>10</v>
      </c>
      <c r="I1" s="65" t="s">
        <v>11</v>
      </c>
      <c r="J1" s="65" t="s">
        <v>12</v>
      </c>
      <c r="K1" s="65" t="s">
        <v>13</v>
      </c>
      <c r="L1" s="65" t="s">
        <v>14</v>
      </c>
      <c r="M1" s="65" t="s">
        <v>15</v>
      </c>
      <c r="N1" s="65" t="s">
        <v>16</v>
      </c>
      <c r="O1" s="65" t="s">
        <v>17</v>
      </c>
      <c r="P1" s="65" t="s">
        <v>18</v>
      </c>
      <c r="Q1" s="65" t="s">
        <v>19</v>
      </c>
      <c r="R1" s="65" t="s">
        <v>20</v>
      </c>
      <c r="S1" s="65" t="s">
        <v>21</v>
      </c>
      <c r="T1" s="65" t="s">
        <v>22</v>
      </c>
      <c r="U1" s="65" t="s">
        <v>23</v>
      </c>
      <c r="V1" s="65" t="s">
        <v>24</v>
      </c>
      <c r="W1" s="65" t="s">
        <v>25</v>
      </c>
      <c r="X1" s="65" t="s">
        <v>26</v>
      </c>
      <c r="Y1" s="65" t="s">
        <v>27</v>
      </c>
      <c r="Z1" s="66" t="s">
        <v>28</v>
      </c>
      <c r="AA1" s="16"/>
    </row>
    <row r="2" spans="1:27" x14ac:dyDescent="0.55000000000000004">
      <c r="A2" s="36" t="s">
        <v>57</v>
      </c>
      <c r="B2" s="37" t="s">
        <v>58</v>
      </c>
      <c r="C2" s="38" t="s">
        <v>74</v>
      </c>
      <c r="D2" s="67">
        <v>151752757215.3085</v>
      </c>
      <c r="E2" s="67">
        <v>135429905922.5262</v>
      </c>
      <c r="F2" s="67">
        <v>129087556612.44882</v>
      </c>
      <c r="G2" s="67">
        <v>197018965308.69696</v>
      </c>
      <c r="H2" s="67">
        <v>255806908594.57254</v>
      </c>
      <c r="I2" s="67">
        <v>288867217196.534</v>
      </c>
      <c r="J2" s="67">
        <v>303858675363.64276</v>
      </c>
      <c r="K2" s="67">
        <v>333077117253.68378</v>
      </c>
      <c r="L2" s="67">
        <v>316131258616.30902</v>
      </c>
      <c r="M2" s="67">
        <v>329754060647.12897</v>
      </c>
      <c r="N2" s="67">
        <v>417363822801.71265</v>
      </c>
      <c r="O2" s="67">
        <v>458199494830.83356</v>
      </c>
      <c r="P2" s="67">
        <v>434400545085.8111</v>
      </c>
      <c r="Q2" s="67">
        <v>400886013595.57318</v>
      </c>
      <c r="R2" s="67">
        <v>381198869776.10565</v>
      </c>
      <c r="S2" s="67">
        <v>346709790458.56305</v>
      </c>
      <c r="T2" s="67">
        <v>323585509674.48059</v>
      </c>
      <c r="U2" s="67">
        <v>381448814654.61993</v>
      </c>
      <c r="V2" s="67">
        <v>405260723892.86816</v>
      </c>
      <c r="W2" s="67">
        <v>389330032221.07013</v>
      </c>
      <c r="X2" s="67">
        <v>338291396025.95581</v>
      </c>
      <c r="Y2" s="67">
        <v>420117812463.84082</v>
      </c>
      <c r="Z2" s="68">
        <v>405270850099.38708</v>
      </c>
      <c r="AA2" s="16"/>
    </row>
    <row r="3" spans="1:27" x14ac:dyDescent="0.55000000000000004">
      <c r="A3" s="39" t="s">
        <v>51</v>
      </c>
      <c r="B3" s="44" t="s">
        <v>52</v>
      </c>
      <c r="C3" s="40" t="s">
        <v>74</v>
      </c>
      <c r="D3" s="69">
        <v>165021012077.80963</v>
      </c>
      <c r="E3" s="69">
        <v>160446947784.90857</v>
      </c>
      <c r="F3" s="69">
        <v>195660611165.18344</v>
      </c>
      <c r="G3" s="69">
        <v>234772463823.80835</v>
      </c>
      <c r="H3" s="69">
        <v>256836875295.4519</v>
      </c>
      <c r="I3" s="69">
        <v>285868619196.08478</v>
      </c>
      <c r="J3" s="69">
        <v>364570515618.35693</v>
      </c>
      <c r="K3" s="69">
        <v>432216737774.86053</v>
      </c>
      <c r="L3" s="69">
        <v>510228634990.59827</v>
      </c>
      <c r="M3" s="69">
        <v>539580085616.49194</v>
      </c>
      <c r="N3" s="69">
        <v>755094157621.93555</v>
      </c>
      <c r="O3" s="69">
        <v>892969104563.17126</v>
      </c>
      <c r="P3" s="69">
        <v>917869913332.64856</v>
      </c>
      <c r="Q3" s="69">
        <v>912524136718.01819</v>
      </c>
      <c r="R3" s="69">
        <v>890814755533.53687</v>
      </c>
      <c r="S3" s="69">
        <v>860854232686.21387</v>
      </c>
      <c r="T3" s="69">
        <v>931877364037.69751</v>
      </c>
      <c r="U3" s="69">
        <v>1015618744159.7339</v>
      </c>
      <c r="V3" s="69">
        <v>1042271532988.6317</v>
      </c>
      <c r="W3" s="69">
        <v>1119099871350.1992</v>
      </c>
      <c r="X3" s="69">
        <v>1059054842698.4821</v>
      </c>
      <c r="Y3" s="69">
        <v>1186505455736.54</v>
      </c>
      <c r="Z3" s="70">
        <v>1319100220407.7168</v>
      </c>
      <c r="AA3" s="16"/>
    </row>
    <row r="4" spans="1:27" x14ac:dyDescent="0.55000000000000004">
      <c r="A4" s="39" t="s">
        <v>61</v>
      </c>
      <c r="B4" s="44" t="s">
        <v>62</v>
      </c>
      <c r="C4" s="40" t="s">
        <v>74</v>
      </c>
      <c r="D4" s="69">
        <v>189514910222.66666</v>
      </c>
      <c r="E4" s="69">
        <v>184137517724.86267</v>
      </c>
      <c r="F4" s="69">
        <v>189605920240.51572</v>
      </c>
      <c r="G4" s="69">
        <v>215807655244.42401</v>
      </c>
      <c r="H4" s="69">
        <v>258742263029.00797</v>
      </c>
      <c r="I4" s="69">
        <v>328459700124.06396</v>
      </c>
      <c r="J4" s="69">
        <v>376900135720.729</v>
      </c>
      <c r="K4" s="69">
        <v>415964583059.20477</v>
      </c>
      <c r="L4" s="69">
        <v>519796738631.12799</v>
      </c>
      <c r="M4" s="69">
        <v>429097899279.01337</v>
      </c>
      <c r="N4" s="69">
        <v>528207298529.87201</v>
      </c>
      <c r="O4" s="69">
        <v>676634577273.04529</v>
      </c>
      <c r="P4" s="69">
        <v>741849984943.25598</v>
      </c>
      <c r="Q4" s="69">
        <v>753864543430.24805</v>
      </c>
      <c r="R4" s="69">
        <v>766605946720.42664</v>
      </c>
      <c r="S4" s="69">
        <v>669484381328.89075</v>
      </c>
      <c r="T4" s="69">
        <v>665999879694.19189</v>
      </c>
      <c r="U4" s="69">
        <v>714994694991.65063</v>
      </c>
      <c r="V4" s="69">
        <v>846583791842.62939</v>
      </c>
      <c r="W4" s="69">
        <v>838564705295.13867</v>
      </c>
      <c r="X4" s="69">
        <v>734271183944.98938</v>
      </c>
      <c r="Y4" s="69">
        <v>874156115900.13074</v>
      </c>
      <c r="Z4" s="70">
        <v>1108571517285.3813</v>
      </c>
      <c r="AA4" s="16"/>
    </row>
    <row r="5" spans="1:27" x14ac:dyDescent="0.55000000000000004">
      <c r="A5" s="39" t="s">
        <v>47</v>
      </c>
      <c r="B5" s="44" t="s">
        <v>48</v>
      </c>
      <c r="C5" s="40" t="s">
        <v>74</v>
      </c>
      <c r="D5" s="69">
        <v>259710142196.94278</v>
      </c>
      <c r="E5" s="69">
        <v>306602070620.50049</v>
      </c>
      <c r="F5" s="69">
        <v>345470494417.86279</v>
      </c>
      <c r="G5" s="69">
        <v>430347420184.88513</v>
      </c>
      <c r="H5" s="69">
        <v>591016690732.38464</v>
      </c>
      <c r="I5" s="69">
        <v>764015973481.11023</v>
      </c>
      <c r="J5" s="69">
        <v>989932071352.54309</v>
      </c>
      <c r="K5" s="69">
        <v>1299703478481.6531</v>
      </c>
      <c r="L5" s="69">
        <v>1660848058303.1138</v>
      </c>
      <c r="M5" s="69">
        <v>1222645900055.6956</v>
      </c>
      <c r="N5" s="69">
        <v>1524916715223.946</v>
      </c>
      <c r="O5" s="69">
        <v>2045922753398.0359</v>
      </c>
      <c r="P5" s="69">
        <v>2208293553878.4243</v>
      </c>
      <c r="Q5" s="69">
        <v>2292470078346.2236</v>
      </c>
      <c r="R5" s="69">
        <v>2059241589895.0149</v>
      </c>
      <c r="S5" s="69">
        <v>1363482182197.7053</v>
      </c>
      <c r="T5" s="69">
        <v>1276786350881.137</v>
      </c>
      <c r="U5" s="69">
        <v>1574199360089.0022</v>
      </c>
      <c r="V5" s="69">
        <v>1657328773461.3062</v>
      </c>
      <c r="W5" s="69">
        <v>1693115002708.3157</v>
      </c>
      <c r="X5" s="69">
        <v>1493075894362.1426</v>
      </c>
      <c r="Y5" s="69">
        <v>1836892075547.5239</v>
      </c>
      <c r="Z5" s="70">
        <v>2240422427458.5791</v>
      </c>
      <c r="AA5" s="16"/>
    </row>
    <row r="6" spans="1:27" x14ac:dyDescent="0.55000000000000004">
      <c r="A6" s="39" t="s">
        <v>59</v>
      </c>
      <c r="B6" s="44" t="s">
        <v>60</v>
      </c>
      <c r="C6" s="40" t="s">
        <v>74</v>
      </c>
      <c r="D6" s="69">
        <v>274294623164.04333</v>
      </c>
      <c r="E6" s="69">
        <v>201753123806.69525</v>
      </c>
      <c r="F6" s="69">
        <v>240249071871.10626</v>
      </c>
      <c r="G6" s="69">
        <v>314595572145.76733</v>
      </c>
      <c r="H6" s="69">
        <v>408865430220.33099</v>
      </c>
      <c r="I6" s="69">
        <v>506314717661.65546</v>
      </c>
      <c r="J6" s="69">
        <v>557076157773.47949</v>
      </c>
      <c r="K6" s="69">
        <v>681321124295.91431</v>
      </c>
      <c r="L6" s="69">
        <v>770449132861.37305</v>
      </c>
      <c r="M6" s="69">
        <v>649289324627.7323</v>
      </c>
      <c r="N6" s="69">
        <v>776967266305.53027</v>
      </c>
      <c r="O6" s="69">
        <v>838785289694.34998</v>
      </c>
      <c r="P6" s="69">
        <v>880555885492.26868</v>
      </c>
      <c r="Q6" s="69">
        <v>957799120008.32043</v>
      </c>
      <c r="R6" s="69">
        <v>938934609296.9657</v>
      </c>
      <c r="S6" s="69">
        <v>864313810469.0094</v>
      </c>
      <c r="T6" s="69">
        <v>869682881593.04138</v>
      </c>
      <c r="U6" s="69">
        <v>858988492853.74194</v>
      </c>
      <c r="V6" s="69">
        <v>778972199727.85852</v>
      </c>
      <c r="W6" s="69">
        <v>761005946788.22144</v>
      </c>
      <c r="X6" s="69">
        <v>720338498174.74377</v>
      </c>
      <c r="Y6" s="69">
        <v>819865253669.66138</v>
      </c>
      <c r="Z6" s="70">
        <v>907118435952.68787</v>
      </c>
      <c r="AA6" s="16"/>
    </row>
    <row r="7" spans="1:27" x14ac:dyDescent="0.55000000000000004">
      <c r="A7" s="39" t="s">
        <v>29</v>
      </c>
      <c r="B7" s="44" t="s">
        <v>30</v>
      </c>
      <c r="C7" s="40" t="s">
        <v>74</v>
      </c>
      <c r="D7" s="69">
        <v>284203750000</v>
      </c>
      <c r="E7" s="69">
        <v>268696750000</v>
      </c>
      <c r="F7" s="69">
        <v>97724004251.860199</v>
      </c>
      <c r="G7" s="69">
        <v>127586973492.17664</v>
      </c>
      <c r="H7" s="69">
        <v>164657930452.78662</v>
      </c>
      <c r="I7" s="69">
        <v>198737095012.28165</v>
      </c>
      <c r="J7" s="69">
        <v>232557260817.30771</v>
      </c>
      <c r="K7" s="69">
        <v>287530508430.56799</v>
      </c>
      <c r="L7" s="69">
        <v>361558037110.41925</v>
      </c>
      <c r="M7" s="69">
        <v>332976484577.6189</v>
      </c>
      <c r="N7" s="69">
        <v>423627422092.48969</v>
      </c>
      <c r="O7" s="69">
        <v>530158122010.44244</v>
      </c>
      <c r="P7" s="69">
        <v>545982375701.12799</v>
      </c>
      <c r="Q7" s="69">
        <v>552025140252.24634</v>
      </c>
      <c r="R7" s="69">
        <v>526319673731.63831</v>
      </c>
      <c r="S7" s="69">
        <v>594749285413.2124</v>
      </c>
      <c r="T7" s="69">
        <v>557532320662.95459</v>
      </c>
      <c r="U7" s="69">
        <v>643628393281.36401</v>
      </c>
      <c r="V7" s="69">
        <v>524819892360.17578</v>
      </c>
      <c r="W7" s="69">
        <v>447754683615.22455</v>
      </c>
      <c r="X7" s="69">
        <v>385740508436.96521</v>
      </c>
      <c r="Y7" s="69">
        <v>487902572164.34839</v>
      </c>
      <c r="Z7" s="70">
        <v>631133384439.94446</v>
      </c>
      <c r="AA7" s="16"/>
    </row>
    <row r="8" spans="1:27" x14ac:dyDescent="0.55000000000000004">
      <c r="A8" s="39" t="s">
        <v>0</v>
      </c>
      <c r="B8" s="44" t="s">
        <v>1</v>
      </c>
      <c r="C8" s="40" t="s">
        <v>74</v>
      </c>
      <c r="D8" s="69">
        <v>416167815092.9082</v>
      </c>
      <c r="E8" s="69">
        <v>379629301675.10822</v>
      </c>
      <c r="F8" s="69">
        <v>395788696012.0592</v>
      </c>
      <c r="G8" s="69">
        <v>467739079790.33197</v>
      </c>
      <c r="H8" s="69">
        <v>614659980082.51538</v>
      </c>
      <c r="I8" s="69">
        <v>695692898676.55969</v>
      </c>
      <c r="J8" s="69">
        <v>748417562769.63574</v>
      </c>
      <c r="K8" s="69">
        <v>855007458585.22412</v>
      </c>
      <c r="L8" s="69">
        <v>1056112427190.3767</v>
      </c>
      <c r="M8" s="69">
        <v>928762122698.04956</v>
      </c>
      <c r="N8" s="69">
        <v>1148890200292.4233</v>
      </c>
      <c r="O8" s="69">
        <v>1398701323029.6284</v>
      </c>
      <c r="P8" s="69">
        <v>1547649835732.8911</v>
      </c>
      <c r="Q8" s="69">
        <v>1577301840200.0142</v>
      </c>
      <c r="R8" s="69">
        <v>1468597690006.2151</v>
      </c>
      <c r="S8" s="69">
        <v>1351768945139.1135</v>
      </c>
      <c r="T8" s="69">
        <v>1207580901578.7236</v>
      </c>
      <c r="U8" s="69">
        <v>1326882104817.0027</v>
      </c>
      <c r="V8" s="69">
        <v>1429733668185.9053</v>
      </c>
      <c r="W8" s="69">
        <v>1394671325960.5681</v>
      </c>
      <c r="X8" s="69">
        <v>1330381544909.3044</v>
      </c>
      <c r="Y8" s="69">
        <v>1559033756285.1294</v>
      </c>
      <c r="Z8" s="70">
        <v>1692956646855.7017</v>
      </c>
      <c r="AA8" s="16"/>
    </row>
    <row r="9" spans="1:27" x14ac:dyDescent="0.55000000000000004">
      <c r="A9" s="39" t="s">
        <v>49</v>
      </c>
      <c r="B9" s="44" t="s">
        <v>50</v>
      </c>
      <c r="C9" s="40" t="s">
        <v>74</v>
      </c>
      <c r="D9" s="69">
        <v>468394937255.80328</v>
      </c>
      <c r="E9" s="69">
        <v>485441014538.63824</v>
      </c>
      <c r="F9" s="69">
        <v>514937948874.2121</v>
      </c>
      <c r="G9" s="69">
        <v>607699285436.0481</v>
      </c>
      <c r="H9" s="69">
        <v>709148514815.78748</v>
      </c>
      <c r="I9" s="69">
        <v>820381595510.64282</v>
      </c>
      <c r="J9" s="69">
        <v>940259888794.35132</v>
      </c>
      <c r="K9" s="69">
        <v>1216736438842.4067</v>
      </c>
      <c r="L9" s="69">
        <v>1198895139014.616</v>
      </c>
      <c r="M9" s="69">
        <v>1341888016984.3594</v>
      </c>
      <c r="N9" s="69">
        <v>1675615519489.3484</v>
      </c>
      <c r="O9" s="69">
        <v>1823051829900.8064</v>
      </c>
      <c r="P9" s="69">
        <v>1827637590787.1895</v>
      </c>
      <c r="Q9" s="69">
        <v>1856721507681.0786</v>
      </c>
      <c r="R9" s="69">
        <v>2039126479228.114</v>
      </c>
      <c r="S9" s="69">
        <v>2103588360066.3235</v>
      </c>
      <c r="T9" s="69">
        <v>2294796885682.5454</v>
      </c>
      <c r="U9" s="69">
        <v>2651474262735.2832</v>
      </c>
      <c r="V9" s="69">
        <v>2702929641707.377</v>
      </c>
      <c r="W9" s="69">
        <v>2835606256616.0254</v>
      </c>
      <c r="X9" s="69">
        <v>2671595405986.8584</v>
      </c>
      <c r="Y9" s="69">
        <v>3150306839142.1328</v>
      </c>
      <c r="Z9" s="70">
        <v>3416645826052.874</v>
      </c>
      <c r="AA9" s="16"/>
    </row>
    <row r="10" spans="1:27" x14ac:dyDescent="0.55000000000000004">
      <c r="A10" s="39" t="s">
        <v>65</v>
      </c>
      <c r="B10" s="44" t="s">
        <v>66</v>
      </c>
      <c r="C10" s="40" t="s">
        <v>74</v>
      </c>
      <c r="D10" s="69">
        <v>576179387819.61304</v>
      </c>
      <c r="E10" s="69">
        <v>547656279894.58673</v>
      </c>
      <c r="F10" s="69">
        <v>627246933729.61768</v>
      </c>
      <c r="G10" s="69">
        <v>702714855193.90417</v>
      </c>
      <c r="H10" s="69">
        <v>793175561887.02686</v>
      </c>
      <c r="I10" s="69">
        <v>934901071332.98376</v>
      </c>
      <c r="J10" s="69">
        <v>1053216909887.5618</v>
      </c>
      <c r="K10" s="69">
        <v>1172614086539.8635</v>
      </c>
      <c r="L10" s="69">
        <v>1047339010225.2472</v>
      </c>
      <c r="M10" s="69">
        <v>943941876218.74329</v>
      </c>
      <c r="N10" s="69">
        <v>1143672241149.7156</v>
      </c>
      <c r="O10" s="69">
        <v>1253289537500.8132</v>
      </c>
      <c r="P10" s="69">
        <v>1278046536287.0134</v>
      </c>
      <c r="Q10" s="69">
        <v>1370632955321.2036</v>
      </c>
      <c r="R10" s="69">
        <v>1484488526271.7983</v>
      </c>
      <c r="S10" s="69">
        <v>1466038936206.4277</v>
      </c>
      <c r="T10" s="69">
        <v>1499679823909.6116</v>
      </c>
      <c r="U10" s="69">
        <v>1623074183501.9038</v>
      </c>
      <c r="V10" s="69">
        <v>1725373496825.426</v>
      </c>
      <c r="W10" s="69">
        <v>1651422932447.7681</v>
      </c>
      <c r="X10" s="69">
        <v>1644312831906.1692</v>
      </c>
      <c r="Y10" s="69">
        <v>1818432106880.0369</v>
      </c>
      <c r="Z10" s="70">
        <v>1673916469026.5576</v>
      </c>
      <c r="AA10" s="16"/>
    </row>
    <row r="11" spans="1:27" x14ac:dyDescent="0.55000000000000004">
      <c r="A11" s="39" t="s">
        <v>31</v>
      </c>
      <c r="B11" s="44" t="s">
        <v>32</v>
      </c>
      <c r="C11" s="40" t="s">
        <v>74</v>
      </c>
      <c r="D11" s="69">
        <v>655448231983.5271</v>
      </c>
      <c r="E11" s="69">
        <v>559983634798.9812</v>
      </c>
      <c r="F11" s="69">
        <v>509795273806.71509</v>
      </c>
      <c r="G11" s="69">
        <v>558233745651.87366</v>
      </c>
      <c r="H11" s="69">
        <v>669289424806.30701</v>
      </c>
      <c r="I11" s="69">
        <v>891633839853.10474</v>
      </c>
      <c r="J11" s="69">
        <v>1107626541710.7407</v>
      </c>
      <c r="K11" s="69">
        <v>1397114486471.384</v>
      </c>
      <c r="L11" s="69">
        <v>1695855083552.0544</v>
      </c>
      <c r="M11" s="69">
        <v>1666996438681.4629</v>
      </c>
      <c r="N11" s="69">
        <v>2208837745214.2334</v>
      </c>
      <c r="O11" s="69">
        <v>2616156223977.4658</v>
      </c>
      <c r="P11" s="69">
        <v>2465227803011.5679</v>
      </c>
      <c r="Q11" s="69">
        <v>2472819535742.7266</v>
      </c>
      <c r="R11" s="69">
        <v>2456043727198.8545</v>
      </c>
      <c r="S11" s="69">
        <v>1802212206904.6777</v>
      </c>
      <c r="T11" s="69">
        <v>1795693482652.5151</v>
      </c>
      <c r="U11" s="69">
        <v>2063514977334.3206</v>
      </c>
      <c r="V11" s="69">
        <v>1916933898038.3572</v>
      </c>
      <c r="W11" s="69">
        <v>1873288205186.4495</v>
      </c>
      <c r="X11" s="69">
        <v>1476107231194.106</v>
      </c>
      <c r="Y11" s="69">
        <v>1649622821885.136</v>
      </c>
      <c r="Z11" s="70">
        <v>1920095779022.7288</v>
      </c>
      <c r="AA11" s="16"/>
    </row>
    <row r="12" spans="1:27" x14ac:dyDescent="0.55000000000000004">
      <c r="A12" s="39" t="s">
        <v>45</v>
      </c>
      <c r="B12" s="44" t="s">
        <v>46</v>
      </c>
      <c r="C12" s="40" t="s">
        <v>74</v>
      </c>
      <c r="D12" s="69">
        <v>742061329643.36951</v>
      </c>
      <c r="E12" s="69">
        <v>796064590656.1759</v>
      </c>
      <c r="F12" s="69">
        <v>810666116505.47778</v>
      </c>
      <c r="G12" s="69">
        <v>765549967888.64685</v>
      </c>
      <c r="H12" s="69">
        <v>819459227375.02246</v>
      </c>
      <c r="I12" s="69">
        <v>917571853345.58276</v>
      </c>
      <c r="J12" s="69">
        <v>1020265057698.5079</v>
      </c>
      <c r="K12" s="69">
        <v>1102355554788.9351</v>
      </c>
      <c r="L12" s="69">
        <v>1161553459894.8025</v>
      </c>
      <c r="M12" s="69">
        <v>943437415098.63306</v>
      </c>
      <c r="N12" s="69">
        <v>1105424238889.3706</v>
      </c>
      <c r="O12" s="69">
        <v>1229013703255.771</v>
      </c>
      <c r="P12" s="69">
        <v>1255110424741.8535</v>
      </c>
      <c r="Q12" s="69">
        <v>1327436290360.9714</v>
      </c>
      <c r="R12" s="69">
        <v>1364507717463.6729</v>
      </c>
      <c r="S12" s="69">
        <v>1213294467527.5852</v>
      </c>
      <c r="T12" s="69">
        <v>1112233497399.1187</v>
      </c>
      <c r="U12" s="69">
        <v>1190721475958.8359</v>
      </c>
      <c r="V12" s="69">
        <v>1256300182983.6531</v>
      </c>
      <c r="W12" s="69">
        <v>1305212479961.594</v>
      </c>
      <c r="X12" s="69">
        <v>1120741118380.2666</v>
      </c>
      <c r="Y12" s="69">
        <v>1312557512901.2795</v>
      </c>
      <c r="Z12" s="70">
        <v>1465854089286.4685</v>
      </c>
      <c r="AA12" s="16"/>
    </row>
    <row r="13" spans="1:27" x14ac:dyDescent="0.55000000000000004">
      <c r="A13" s="39" t="s">
        <v>37</v>
      </c>
      <c r="B13" s="44" t="s">
        <v>38</v>
      </c>
      <c r="C13" s="40" t="s">
        <v>74</v>
      </c>
      <c r="D13" s="69">
        <v>744773415931.58704</v>
      </c>
      <c r="E13" s="69">
        <v>738981792355.37195</v>
      </c>
      <c r="F13" s="69">
        <v>760649334098.00549</v>
      </c>
      <c r="G13" s="69">
        <v>895540646634.78699</v>
      </c>
      <c r="H13" s="69">
        <v>1026690238278.2476</v>
      </c>
      <c r="I13" s="69">
        <v>1173108598778.6763</v>
      </c>
      <c r="J13" s="69">
        <v>1319264809590.9731</v>
      </c>
      <c r="K13" s="69">
        <v>1468820407783.2603</v>
      </c>
      <c r="L13" s="69">
        <v>1552989690721.6497</v>
      </c>
      <c r="M13" s="69">
        <v>1374625142157.2915</v>
      </c>
      <c r="N13" s="69">
        <v>1617343367486.2585</v>
      </c>
      <c r="O13" s="69">
        <v>1793326630174.5186</v>
      </c>
      <c r="P13" s="69">
        <v>1828366481521.5952</v>
      </c>
      <c r="Q13" s="69">
        <v>1846597421834.9834</v>
      </c>
      <c r="R13" s="69">
        <v>1805749878439.9412</v>
      </c>
      <c r="S13" s="69">
        <v>1556508816217.1401</v>
      </c>
      <c r="T13" s="69">
        <v>1527994741907.425</v>
      </c>
      <c r="U13" s="69">
        <v>1649265644244.095</v>
      </c>
      <c r="V13" s="69">
        <v>1725329192783.0239</v>
      </c>
      <c r="W13" s="69">
        <v>1743725183672.5212</v>
      </c>
      <c r="X13" s="69">
        <v>1655684730000.1936</v>
      </c>
      <c r="Y13" s="69">
        <v>2007472181464.1519</v>
      </c>
      <c r="Z13" s="70">
        <v>2161483369422.0146</v>
      </c>
      <c r="AA13" s="16"/>
    </row>
    <row r="14" spans="1:27" x14ac:dyDescent="0.55000000000000004">
      <c r="A14" s="39" t="s">
        <v>39</v>
      </c>
      <c r="B14" s="44" t="s">
        <v>40</v>
      </c>
      <c r="C14" s="40" t="s">
        <v>74</v>
      </c>
      <c r="D14" s="69">
        <v>1146676894209.728</v>
      </c>
      <c r="E14" s="69">
        <v>1168023426056.3794</v>
      </c>
      <c r="F14" s="69">
        <v>1276769338449.2964</v>
      </c>
      <c r="G14" s="69">
        <v>1577621707050.5066</v>
      </c>
      <c r="H14" s="69">
        <v>1806542968545.5645</v>
      </c>
      <c r="I14" s="69">
        <v>1858217147203.7346</v>
      </c>
      <c r="J14" s="69">
        <v>1949551719389.6443</v>
      </c>
      <c r="K14" s="69">
        <v>2213102482751.458</v>
      </c>
      <c r="L14" s="69">
        <v>2408655348718.5933</v>
      </c>
      <c r="M14" s="69">
        <v>2199928804118.6313</v>
      </c>
      <c r="N14" s="69">
        <v>2136099955236.6709</v>
      </c>
      <c r="O14" s="69">
        <v>2294994296589.4985</v>
      </c>
      <c r="P14" s="69">
        <v>2086957656821.6021</v>
      </c>
      <c r="Q14" s="69">
        <v>2141924094298.5552</v>
      </c>
      <c r="R14" s="69">
        <v>2162009615996.5415</v>
      </c>
      <c r="S14" s="69">
        <v>1836637711060.5459</v>
      </c>
      <c r="T14" s="69">
        <v>1877071687633.7788</v>
      </c>
      <c r="U14" s="69">
        <v>1961796197354.3564</v>
      </c>
      <c r="V14" s="69">
        <v>2091932426266.979</v>
      </c>
      <c r="W14" s="69">
        <v>2011302198827.4478</v>
      </c>
      <c r="X14" s="69">
        <v>1897461635591.9119</v>
      </c>
      <c r="Y14" s="69">
        <v>2155360298998.0273</v>
      </c>
      <c r="Z14" s="70">
        <v>2049737165407.9846</v>
      </c>
      <c r="AA14" s="16"/>
    </row>
    <row r="15" spans="1:27" x14ac:dyDescent="0.55000000000000004">
      <c r="A15" s="39" t="s">
        <v>33</v>
      </c>
      <c r="B15" s="44" t="s">
        <v>34</v>
      </c>
      <c r="C15" s="40" t="s">
        <v>74</v>
      </c>
      <c r="D15" s="69">
        <v>1211331651829.8477</v>
      </c>
      <c r="E15" s="69">
        <v>1339400897153.4365</v>
      </c>
      <c r="F15" s="69">
        <v>1470557654824.1099</v>
      </c>
      <c r="G15" s="69">
        <v>1660280543870.9529</v>
      </c>
      <c r="H15" s="69">
        <v>1955346768757.6394</v>
      </c>
      <c r="I15" s="69">
        <v>2285961149904.2568</v>
      </c>
      <c r="J15" s="69">
        <v>2752118657221.6401</v>
      </c>
      <c r="K15" s="69">
        <v>3550327803024.6865</v>
      </c>
      <c r="L15" s="69">
        <v>4594336785752.0635</v>
      </c>
      <c r="M15" s="69">
        <v>5101691124358.4053</v>
      </c>
      <c r="N15" s="69">
        <v>6087191746738.5713</v>
      </c>
      <c r="O15" s="69">
        <v>7551545703518.1367</v>
      </c>
      <c r="P15" s="69">
        <v>8532185381696.4346</v>
      </c>
      <c r="Q15" s="69">
        <v>9570471111847.8164</v>
      </c>
      <c r="R15" s="69">
        <v>10475624944290.115</v>
      </c>
      <c r="S15" s="69">
        <v>11061572618594.75</v>
      </c>
      <c r="T15" s="69">
        <v>11233313730288.52</v>
      </c>
      <c r="U15" s="69">
        <v>12310491333980.889</v>
      </c>
      <c r="V15" s="69">
        <v>13894907857925.922</v>
      </c>
      <c r="W15" s="69">
        <v>14279968506242.775</v>
      </c>
      <c r="X15" s="69">
        <v>14687744162801.033</v>
      </c>
      <c r="Y15" s="69">
        <v>17820459508852.184</v>
      </c>
      <c r="Z15" s="70">
        <v>17963171479205.328</v>
      </c>
      <c r="AA15" s="16"/>
    </row>
    <row r="16" spans="1:27" x14ac:dyDescent="0.55000000000000004">
      <c r="A16" s="39" t="s">
        <v>35</v>
      </c>
      <c r="B16" s="44" t="s">
        <v>36</v>
      </c>
      <c r="C16" s="40" t="s">
        <v>74</v>
      </c>
      <c r="D16" s="69">
        <v>1365639660792.1597</v>
      </c>
      <c r="E16" s="69">
        <v>1377657339291.3403</v>
      </c>
      <c r="F16" s="69">
        <v>1501409382971.3752</v>
      </c>
      <c r="G16" s="69">
        <v>1844544792036.8589</v>
      </c>
      <c r="H16" s="69">
        <v>2119633181634.3684</v>
      </c>
      <c r="I16" s="69">
        <v>2196945232435.7966</v>
      </c>
      <c r="J16" s="69">
        <v>2320536221304.7026</v>
      </c>
      <c r="K16" s="69">
        <v>2660591246211.7734</v>
      </c>
      <c r="L16" s="69">
        <v>2930303780828.1245</v>
      </c>
      <c r="M16" s="69">
        <v>2700887366932.0293</v>
      </c>
      <c r="N16" s="69">
        <v>2645187882116.6719</v>
      </c>
      <c r="O16" s="69">
        <v>2865157541994.1689</v>
      </c>
      <c r="P16" s="69">
        <v>2683671716967.188</v>
      </c>
      <c r="Q16" s="69">
        <v>2811876903329.0273</v>
      </c>
      <c r="R16" s="69">
        <v>2855964488590.186</v>
      </c>
      <c r="S16" s="69">
        <v>2439188643162.4985</v>
      </c>
      <c r="T16" s="69">
        <v>2472964344587.1655</v>
      </c>
      <c r="U16" s="69">
        <v>2595151045197.6514</v>
      </c>
      <c r="V16" s="69">
        <v>2790956878746.6646</v>
      </c>
      <c r="W16" s="69">
        <v>2728870246705.8779</v>
      </c>
      <c r="X16" s="69">
        <v>2647418691598.4507</v>
      </c>
      <c r="Y16" s="69">
        <v>2959355819170.4951</v>
      </c>
      <c r="Z16" s="70">
        <v>2779092236505.8472</v>
      </c>
      <c r="AA16" s="16"/>
    </row>
    <row r="17" spans="1:27" x14ac:dyDescent="0.55000000000000004">
      <c r="A17" s="39" t="s">
        <v>41</v>
      </c>
      <c r="B17" s="44" t="s">
        <v>42</v>
      </c>
      <c r="C17" s="40" t="s">
        <v>74</v>
      </c>
      <c r="D17" s="69">
        <v>1665534876683.3105</v>
      </c>
      <c r="E17" s="69">
        <v>1649827263567.0073</v>
      </c>
      <c r="F17" s="69">
        <v>1785729916067.1462</v>
      </c>
      <c r="G17" s="69">
        <v>2054422857142.8569</v>
      </c>
      <c r="H17" s="69">
        <v>2421525082387.4038</v>
      </c>
      <c r="I17" s="69">
        <v>2543180000000</v>
      </c>
      <c r="J17" s="69">
        <v>2708441582336.7065</v>
      </c>
      <c r="K17" s="69">
        <v>3090510204081.6323</v>
      </c>
      <c r="L17" s="69">
        <v>2929411764705.8823</v>
      </c>
      <c r="M17" s="69">
        <v>2412840006231.5</v>
      </c>
      <c r="N17" s="69">
        <v>2485482596184.7095</v>
      </c>
      <c r="O17" s="69">
        <v>2663805834828.0723</v>
      </c>
      <c r="P17" s="69">
        <v>2707089726614.6362</v>
      </c>
      <c r="Q17" s="69">
        <v>2784853502534.292</v>
      </c>
      <c r="R17" s="69">
        <v>3064708247921.4277</v>
      </c>
      <c r="S17" s="69">
        <v>2927911140916.7314</v>
      </c>
      <c r="T17" s="69">
        <v>2689106566899.6108</v>
      </c>
      <c r="U17" s="69">
        <v>2680148052335.2988</v>
      </c>
      <c r="V17" s="69">
        <v>2871340347581.7856</v>
      </c>
      <c r="W17" s="69">
        <v>2851407164907.8081</v>
      </c>
      <c r="X17" s="69">
        <v>2697806592293.8604</v>
      </c>
      <c r="Y17" s="69">
        <v>3141506156618.7026</v>
      </c>
      <c r="Z17" s="70">
        <v>3089072722400.1357</v>
      </c>
      <c r="AA17" s="16"/>
    </row>
    <row r="18" spans="1:27" x14ac:dyDescent="0.55000000000000004">
      <c r="A18" s="39" t="s">
        <v>53</v>
      </c>
      <c r="B18" s="44" t="s">
        <v>54</v>
      </c>
      <c r="C18" s="40" t="s">
        <v>74</v>
      </c>
      <c r="D18" s="69">
        <v>1947981991011.7688</v>
      </c>
      <c r="E18" s="69">
        <v>1945790973803.1519</v>
      </c>
      <c r="F18" s="69">
        <v>2078484517474.5134</v>
      </c>
      <c r="G18" s="69">
        <v>2501640388482.3477</v>
      </c>
      <c r="H18" s="69">
        <v>2814353869359.0806</v>
      </c>
      <c r="I18" s="69">
        <v>2846864211175.0962</v>
      </c>
      <c r="J18" s="69">
        <v>2994703642023.5254</v>
      </c>
      <c r="K18" s="69">
        <v>3425578382921.5796</v>
      </c>
      <c r="L18" s="69">
        <v>3745264093617.1865</v>
      </c>
      <c r="M18" s="69">
        <v>3411261212652.3413</v>
      </c>
      <c r="N18" s="69">
        <v>3399667820000.0063</v>
      </c>
      <c r="O18" s="69">
        <v>3749314991050.5908</v>
      </c>
      <c r="P18" s="69">
        <v>3527143188785.1572</v>
      </c>
      <c r="Q18" s="69">
        <v>3733804649549.0303</v>
      </c>
      <c r="R18" s="69">
        <v>3889093051023.5156</v>
      </c>
      <c r="S18" s="69">
        <v>3357585719351.5605</v>
      </c>
      <c r="T18" s="69">
        <v>3469853463945.5337</v>
      </c>
      <c r="U18" s="69">
        <v>3690849152517.6533</v>
      </c>
      <c r="V18" s="69">
        <v>3974443355019.605</v>
      </c>
      <c r="W18" s="69">
        <v>3889177589254.8955</v>
      </c>
      <c r="X18" s="69">
        <v>3887727161914.4077</v>
      </c>
      <c r="Y18" s="69">
        <v>4278503934689.8535</v>
      </c>
      <c r="Z18" s="70">
        <v>4082469490797.6812</v>
      </c>
      <c r="AA18" s="16"/>
    </row>
    <row r="19" spans="1:27" x14ac:dyDescent="0.55000000000000004">
      <c r="A19" s="39" t="s">
        <v>43</v>
      </c>
      <c r="B19" s="44" t="s">
        <v>44</v>
      </c>
      <c r="C19" s="40" t="s">
        <v>74</v>
      </c>
      <c r="D19" s="69">
        <v>4968359075956.5908</v>
      </c>
      <c r="E19" s="69">
        <v>4374711694090.8706</v>
      </c>
      <c r="F19" s="69">
        <v>4182846045873.6079</v>
      </c>
      <c r="G19" s="69">
        <v>4519561645253.5293</v>
      </c>
      <c r="H19" s="69">
        <v>4893116005656.5586</v>
      </c>
      <c r="I19" s="69">
        <v>4831467035389.7998</v>
      </c>
      <c r="J19" s="69">
        <v>4601663122649.9209</v>
      </c>
      <c r="K19" s="69">
        <v>4579750920354.8086</v>
      </c>
      <c r="L19" s="69">
        <v>5106679115127.2988</v>
      </c>
      <c r="M19" s="69">
        <v>5289493117993.8896</v>
      </c>
      <c r="N19" s="69">
        <v>5759071769013.1133</v>
      </c>
      <c r="O19" s="69">
        <v>6233147172341.3486</v>
      </c>
      <c r="P19" s="69">
        <v>6272362996105.0342</v>
      </c>
      <c r="Q19" s="69">
        <v>5212328181166.1846</v>
      </c>
      <c r="R19" s="69">
        <v>4896994405353.292</v>
      </c>
      <c r="S19" s="69">
        <v>4444930651964.1797</v>
      </c>
      <c r="T19" s="69">
        <v>5003677627544.2402</v>
      </c>
      <c r="U19" s="69">
        <v>4930837369151.4219</v>
      </c>
      <c r="V19" s="69">
        <v>5040880939324.8594</v>
      </c>
      <c r="W19" s="69">
        <v>5117993853016.5078</v>
      </c>
      <c r="X19" s="69">
        <v>5055587093501.5879</v>
      </c>
      <c r="Y19" s="69">
        <v>5034620784584.9834</v>
      </c>
      <c r="Z19" s="70">
        <v>4256410760723.75</v>
      </c>
      <c r="AA19" s="16"/>
    </row>
    <row r="20" spans="1:27" x14ac:dyDescent="0.55000000000000004">
      <c r="A20" s="39" t="s">
        <v>63</v>
      </c>
      <c r="B20" s="44" t="s">
        <v>64</v>
      </c>
      <c r="C20" s="40" t="s">
        <v>74</v>
      </c>
      <c r="D20" s="69">
        <v>7276390991857.4502</v>
      </c>
      <c r="E20" s="69">
        <v>7393612739232.7832</v>
      </c>
      <c r="F20" s="69">
        <v>8083519004561.542</v>
      </c>
      <c r="G20" s="69">
        <v>9932133486284.8047</v>
      </c>
      <c r="H20" s="69">
        <v>11418900352971.113</v>
      </c>
      <c r="I20" s="69">
        <v>11910068707011.711</v>
      </c>
      <c r="J20" s="69">
        <v>12712635610430.092</v>
      </c>
      <c r="K20" s="69">
        <v>14727519982190.607</v>
      </c>
      <c r="L20" s="69">
        <v>16295383915395.207</v>
      </c>
      <c r="M20" s="69">
        <v>14762732184092.887</v>
      </c>
      <c r="N20" s="69">
        <v>14556037351406.035</v>
      </c>
      <c r="O20" s="69">
        <v>15765045684120.055</v>
      </c>
      <c r="P20" s="69">
        <v>14641507897977.148</v>
      </c>
      <c r="Q20" s="69">
        <v>15294695568087.025</v>
      </c>
      <c r="R20" s="69">
        <v>15651155752825.717</v>
      </c>
      <c r="S20" s="69">
        <v>13553676666875.898</v>
      </c>
      <c r="T20" s="69">
        <v>13888512857169.037</v>
      </c>
      <c r="U20" s="69">
        <v>14765543450854.99</v>
      </c>
      <c r="V20" s="69">
        <v>15980992271824.854</v>
      </c>
      <c r="W20" s="69">
        <v>15693432719569.6</v>
      </c>
      <c r="X20" s="69">
        <v>15381174426002.424</v>
      </c>
      <c r="Y20" s="69">
        <v>17315218527836.057</v>
      </c>
      <c r="Z20" s="70">
        <v>16746544871111.969</v>
      </c>
      <c r="AA20" s="16"/>
    </row>
    <row r="21" spans="1:27" ht="14.7" thickBot="1" x14ac:dyDescent="0.6">
      <c r="A21" s="39" t="s">
        <v>55</v>
      </c>
      <c r="B21" s="44" t="s">
        <v>56</v>
      </c>
      <c r="C21" s="42" t="s">
        <v>74</v>
      </c>
      <c r="D21" s="71">
        <v>10250947997000</v>
      </c>
      <c r="E21" s="71">
        <v>10581929774000</v>
      </c>
      <c r="F21" s="71">
        <v>10929112955000</v>
      </c>
      <c r="G21" s="71">
        <v>11456442041000</v>
      </c>
      <c r="H21" s="71">
        <v>12217193198000</v>
      </c>
      <c r="I21" s="71">
        <v>13039199193000</v>
      </c>
      <c r="J21" s="71">
        <v>13815586948000</v>
      </c>
      <c r="K21" s="71">
        <v>14474226905000</v>
      </c>
      <c r="L21" s="71">
        <v>14769857911000</v>
      </c>
      <c r="M21" s="71">
        <v>14478064934000</v>
      </c>
      <c r="N21" s="71">
        <v>15048964444000</v>
      </c>
      <c r="O21" s="71">
        <v>15599728123000</v>
      </c>
      <c r="P21" s="71">
        <v>16253972230000</v>
      </c>
      <c r="Q21" s="71">
        <v>16843190993000</v>
      </c>
      <c r="R21" s="71">
        <v>17550680173999.998</v>
      </c>
      <c r="S21" s="71">
        <v>18206020741000</v>
      </c>
      <c r="T21" s="71">
        <v>18695110842000</v>
      </c>
      <c r="U21" s="71">
        <v>19477336549000</v>
      </c>
      <c r="V21" s="71">
        <v>20533057312000</v>
      </c>
      <c r="W21" s="71">
        <v>21380976119000</v>
      </c>
      <c r="X21" s="71">
        <v>21060473613000</v>
      </c>
      <c r="Y21" s="71">
        <v>23315080560000</v>
      </c>
      <c r="Z21" s="72">
        <v>25439700000000</v>
      </c>
      <c r="AA21" s="16"/>
    </row>
    <row r="22" spans="1:27" x14ac:dyDescent="0.55000000000000004">
      <c r="A22" s="77"/>
      <c r="B22" s="78"/>
      <c r="C22" s="56" t="s">
        <v>80</v>
      </c>
      <c r="D22" s="101">
        <f>AVERAGE(D2:D21)</f>
        <v>1738019272597.2219</v>
      </c>
      <c r="E22" s="60">
        <f>AVERAGE(E2:E21)</f>
        <v>1729788851848.6665</v>
      </c>
      <c r="F22" s="60">
        <f>AVERAGE(F2:F21)</f>
        <v>1806265538840.3328</v>
      </c>
      <c r="G22" s="60">
        <f>AVERAGE(G2:G21)</f>
        <v>2053212704595.8606</v>
      </c>
      <c r="H22" s="60">
        <f t="shared" ref="H22:Y22" si="0">AVERAGE(H2:H21)</f>
        <v>2310748023644.0586</v>
      </c>
      <c r="I22" s="60">
        <f t="shared" si="0"/>
        <v>2465872792814.4834</v>
      </c>
      <c r="J22" s="60">
        <f t="shared" si="0"/>
        <v>2643459154522.7031</v>
      </c>
      <c r="K22" s="60">
        <f t="shared" si="0"/>
        <v>2969203495442.1748</v>
      </c>
      <c r="L22" s="60">
        <f t="shared" si="0"/>
        <v>3231582469312.8022</v>
      </c>
      <c r="M22" s="60">
        <f t="shared" si="0"/>
        <v>3052994675851.0952</v>
      </c>
      <c r="N22" s="60">
        <f t="shared" si="0"/>
        <v>3272183177989.6304</v>
      </c>
      <c r="O22" s="60">
        <f t="shared" si="0"/>
        <v>3613947396852.5376</v>
      </c>
      <c r="P22" s="60">
        <f>AVERAGE(P2:P21)</f>
        <v>3631794086274.1421</v>
      </c>
      <c r="Q22" s="60">
        <f t="shared" si="0"/>
        <v>3735711179365.1768</v>
      </c>
      <c r="R22" s="60">
        <f t="shared" si="0"/>
        <v>3836393007178.1538</v>
      </c>
      <c r="S22" s="60">
        <f t="shared" si="0"/>
        <v>3601026465377.0518</v>
      </c>
      <c r="T22" s="60">
        <f t="shared" si="0"/>
        <v>3669652737987.0664</v>
      </c>
      <c r="U22" s="60">
        <f t="shared" si="0"/>
        <v>3905298214950.6904</v>
      </c>
      <c r="V22" s="60">
        <f t="shared" si="0"/>
        <v>4159517419174.3936</v>
      </c>
      <c r="W22" s="60">
        <f t="shared" si="0"/>
        <v>4200296251167.4009</v>
      </c>
      <c r="X22" s="60">
        <f t="shared" si="0"/>
        <v>4097249428136.1924</v>
      </c>
      <c r="Y22" s="60">
        <f t="shared" si="0"/>
        <v>4657148504739.5107</v>
      </c>
      <c r="Z22" s="60">
        <f>AVERAGE(Z2:Z21)</f>
        <v>4767438387073.1367</v>
      </c>
    </row>
    <row r="23" spans="1:27" x14ac:dyDescent="0.55000000000000004">
      <c r="A23" s="77"/>
      <c r="B23" s="78"/>
      <c r="C23" s="57" t="s">
        <v>81</v>
      </c>
      <c r="D23" s="102">
        <f>MEDIAN(D2:D21)</f>
        <v>698754780813.44824</v>
      </c>
      <c r="E23" s="61">
        <f>MEDIAN(E2:E21)</f>
        <v>649482713577.17651</v>
      </c>
      <c r="F23" s="61">
        <f t="shared" ref="F23:Z23" si="1">MEDIAN(F2:F21)</f>
        <v>693948133913.81152</v>
      </c>
      <c r="G23" s="61">
        <f t="shared" si="1"/>
        <v>734132411541.27551</v>
      </c>
      <c r="H23" s="61">
        <f t="shared" si="1"/>
        <v>806317394631.02466</v>
      </c>
      <c r="I23" s="61">
        <f>MEDIAN(I2:I21)</f>
        <v>926236462339.2832</v>
      </c>
      <c r="J23" s="61">
        <f t="shared" si="1"/>
        <v>1080421725799.1512</v>
      </c>
      <c r="K23" s="61">
        <f t="shared" si="1"/>
        <v>1348408982476.5186</v>
      </c>
      <c r="L23" s="61">
        <f t="shared" si="1"/>
        <v>1606918874512.3818</v>
      </c>
      <c r="M23" s="61">
        <f t="shared" si="1"/>
        <v>1358256579570.8254</v>
      </c>
      <c r="N23" s="61">
        <f t="shared" si="1"/>
        <v>1646479443487.8035</v>
      </c>
      <c r="O23" s="61">
        <f t="shared" si="1"/>
        <v>1934487291649.4211</v>
      </c>
      <c r="P23" s="61">
        <f t="shared" si="1"/>
        <v>1957662069171.5986</v>
      </c>
      <c r="Q23" s="61">
        <f t="shared" si="1"/>
        <v>1999322800989.8169</v>
      </c>
      <c r="R23" s="61">
        <f t="shared" si="1"/>
        <v>2049184034561.5645</v>
      </c>
      <c r="S23" s="61">
        <f t="shared" si="1"/>
        <v>1679360511560.9089</v>
      </c>
      <c r="T23" s="61">
        <f t="shared" si="1"/>
        <v>1661844112279.9702</v>
      </c>
      <c r="U23" s="61">
        <f t="shared" si="1"/>
        <v>1805530920799.2256</v>
      </c>
      <c r="V23" s="61">
        <f t="shared" si="1"/>
        <v>1821153697431.8916</v>
      </c>
      <c r="W23" s="61">
        <f t="shared" si="1"/>
        <v>1808506694429.4854</v>
      </c>
      <c r="X23" s="61">
        <f>MEDIAN(X2:X21)</f>
        <v>1649998780953.1814</v>
      </c>
      <c r="Y23" s="61">
        <f t="shared" si="1"/>
        <v>1922182128505.8379</v>
      </c>
      <c r="Z23" s="61">
        <f t="shared" si="1"/>
        <v>2105610267414.9995</v>
      </c>
    </row>
    <row r="24" spans="1:27" x14ac:dyDescent="0.55000000000000004">
      <c r="A24" s="77"/>
      <c r="B24" s="78"/>
      <c r="C24" s="58" t="s">
        <v>83</v>
      </c>
      <c r="D24" s="62">
        <f>_xlfn.VAR.P(D2:D21)</f>
        <v>6.8041569695614911E+24</v>
      </c>
      <c r="E24" s="62">
        <f>_xlfn.VAR.P(E2:E21)</f>
        <v>6.997984868739757E+24</v>
      </c>
      <c r="F24" s="62">
        <f>_xlfn.VAR.P(F2:F21)</f>
        <v>7.658867446219816E+24</v>
      </c>
      <c r="G24" s="62">
        <f>_xlfn.VAR.P(G2:G21)</f>
        <v>9.4179640306705617E+24</v>
      </c>
      <c r="H24" s="62">
        <f>_xlfn.VAR.P(H2:H21)</f>
        <v>1.1329602985637383E+25</v>
      </c>
      <c r="I24" s="62">
        <f>_xlfn.VAR.P(I2:I21)</f>
        <v>1.2393866054058037E+25</v>
      </c>
      <c r="J24" s="62">
        <f>_xlfn.VAR.P(J2:J21)</f>
        <v>1.3761821273120931E+25</v>
      </c>
      <c r="K24" s="62">
        <f>_xlfn.VAR.P(K2:K21)</f>
        <v>1.6426949755173854E+25</v>
      </c>
      <c r="L24" s="62">
        <f>_xlfn.VAR.P(L2:L21)</f>
        <v>1.8670416850885085E+25</v>
      </c>
      <c r="M24" s="62">
        <f>_xlfn.VAR.P(M2:M21)</f>
        <v>1.6823011086977301E+25</v>
      </c>
      <c r="N24" s="62">
        <f>_xlfn.VAR.P(N2:N21)</f>
        <v>1.7100311897510363E+25</v>
      </c>
      <c r="O24" s="62">
        <f>_xlfn.VAR.P(O2:O21)</f>
        <v>1.931200870634002E+25</v>
      </c>
      <c r="P24" s="62">
        <f>_xlfn.VAR.P(P2:P21)</f>
        <v>1.920650543492034E+25</v>
      </c>
      <c r="Q24" s="62">
        <f>_xlfn.VAR.P(Q2:Q21)</f>
        <v>2.0930177095393955E+25</v>
      </c>
      <c r="R24" s="62">
        <f>_xlfn.VAR.P(R2:R21)</f>
        <v>2.2814665938719844E+25</v>
      </c>
      <c r="S24" s="62">
        <f>_xlfn.VAR.P(S2:S21)</f>
        <v>2.2345598682285186E+25</v>
      </c>
      <c r="T24" s="62">
        <f>_xlfn.VAR.P(T2:T21)</f>
        <v>2.3654447635387113E+25</v>
      </c>
      <c r="U24" s="62">
        <f>_xlfn.VAR.P(U2:U21)</f>
        <v>2.6237545640571455E+25</v>
      </c>
      <c r="V24" s="62">
        <f>_xlfn.VAR.P(V2:V21)</f>
        <v>3.0590251259086115E+25</v>
      </c>
      <c r="W24" s="62">
        <f>_xlfn.VAR.P(W2:W21)</f>
        <v>3.2107979742909997E+25</v>
      </c>
      <c r="X24" s="62">
        <f>_xlfn.VAR.P(X2:X21)</f>
        <v>3.2056253747345998E+25</v>
      </c>
      <c r="Y24" s="62">
        <f>_xlfn.VAR.P(Y2:Y21)</f>
        <v>4.1244595055319947E+25</v>
      </c>
      <c r="Z24" s="62">
        <f>_xlfn.VAR.P(Z2:Z21)</f>
        <v>4.4460247577613375E+25</v>
      </c>
    </row>
    <row r="25" spans="1:27" ht="14.7" thickBot="1" x14ac:dyDescent="0.6">
      <c r="A25" s="77"/>
      <c r="B25" s="78"/>
      <c r="C25" s="59" t="s">
        <v>82</v>
      </c>
      <c r="D25" s="63">
        <f>_xlfn.STDEV.P(D2:D21)</f>
        <v>2608477902831.7437</v>
      </c>
      <c r="E25" s="63">
        <f>_xlfn.STDEV.P(E2:E21)</f>
        <v>2645370459640.7207</v>
      </c>
      <c r="F25" s="63">
        <f>_xlfn.STDEV.P(F2:F21)</f>
        <v>2767465888899.0513</v>
      </c>
      <c r="G25" s="63">
        <f>_xlfn.STDEV.P(G2:G21)</f>
        <v>3068870155394.4185</v>
      </c>
      <c r="H25" s="63">
        <f>_xlfn.STDEV.P(H2:H21)</f>
        <v>3365947561332.0811</v>
      </c>
      <c r="I25" s="63">
        <f>_xlfn.STDEV.P(I2:I21)</f>
        <v>3520492302797.7261</v>
      </c>
      <c r="J25" s="63">
        <f>_xlfn.STDEV.P(J2:J21)</f>
        <v>3709692881239.7573</v>
      </c>
      <c r="K25" s="63">
        <f>_xlfn.STDEV.P(K2:K21)</f>
        <v>4053017364282.3013</v>
      </c>
      <c r="L25" s="63">
        <f>_xlfn.STDEV.P(L2:L21)</f>
        <v>4320927776633.7505</v>
      </c>
      <c r="M25" s="63">
        <f>_xlfn.STDEV.P(M2:M21)</f>
        <v>4101586411009.4404</v>
      </c>
      <c r="N25" s="63">
        <f>_xlfn.STDEV.P(N2:N21)</f>
        <v>4135252337827.8096</v>
      </c>
      <c r="O25" s="63">
        <f>_xlfn.STDEV.P(O2:O21)</f>
        <v>4394543060016.5952</v>
      </c>
      <c r="P25" s="63">
        <f>_xlfn.STDEV.P(P2:P21)</f>
        <v>4382522724974.7764</v>
      </c>
      <c r="Q25" s="63">
        <f>_xlfn.STDEV.P(Q2:Q21)</f>
        <v>4574951048415.0488</v>
      </c>
      <c r="R25" s="63">
        <f>_xlfn.STDEV.P(R2:R21)</f>
        <v>4776470029082.1299</v>
      </c>
      <c r="S25" s="63">
        <f>_xlfn.STDEV.P(S2:S21)</f>
        <v>4727113144646.0205</v>
      </c>
      <c r="T25" s="63">
        <f>_xlfn.STDEV.P(T2:T21)</f>
        <v>4863583826293.8486</v>
      </c>
      <c r="U25" s="63">
        <f>_xlfn.STDEV.P(U2:U21)</f>
        <v>5122259817753.4355</v>
      </c>
      <c r="V25" s="63">
        <f>_xlfn.STDEV.P(V2:V21)</f>
        <v>5530845438003.6797</v>
      </c>
      <c r="W25" s="63">
        <f>_xlfn.STDEV.P(W2:W21)</f>
        <v>5666390362736.2275</v>
      </c>
      <c r="X25" s="63">
        <f>_xlfn.STDEV.P(X2:X21)</f>
        <v>5661824242004.1611</v>
      </c>
      <c r="Y25" s="63">
        <f>_xlfn.STDEV.P(Y2:Y21)</f>
        <v>6422195501175.5869</v>
      </c>
      <c r="Z25" s="63">
        <f>_xlfn.STDEV.P(Z2:Z21)</f>
        <v>6667851796314.415</v>
      </c>
    </row>
    <row r="26" spans="1:27" ht="14.7" thickBot="1" x14ac:dyDescent="0.6">
      <c r="A26" s="77"/>
      <c r="B26" s="78"/>
      <c r="C26" s="76"/>
      <c r="D26" s="82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</sheetData>
  <sortState ref="A2:Z26">
    <sortCondition ref="D2:D21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zoomScale="58" workbookViewId="0">
      <selection activeCell="C22" sqref="C22:Z25"/>
    </sheetView>
  </sheetViews>
  <sheetFormatPr defaultRowHeight="14.4" x14ac:dyDescent="0.55000000000000004"/>
  <cols>
    <col min="1" max="1" width="18.15625" bestFit="1" customWidth="1"/>
    <col min="2" max="2" width="10.1015625" customWidth="1"/>
    <col min="3" max="3" width="34.20703125" customWidth="1"/>
  </cols>
  <sheetData>
    <row r="1" spans="1:26" x14ac:dyDescent="0.55000000000000004">
      <c r="A1" s="79" t="s">
        <v>3</v>
      </c>
      <c r="B1" s="79" t="s">
        <v>4</v>
      </c>
      <c r="C1" s="79" t="s">
        <v>5</v>
      </c>
      <c r="D1" s="79" t="s">
        <v>6</v>
      </c>
      <c r="E1" s="79" t="s">
        <v>7</v>
      </c>
      <c r="F1" s="79" t="s">
        <v>8</v>
      </c>
      <c r="G1" s="79" t="s">
        <v>9</v>
      </c>
      <c r="H1" s="79" t="s">
        <v>10</v>
      </c>
      <c r="I1" s="79" t="s">
        <v>11</v>
      </c>
      <c r="J1" s="79" t="s">
        <v>12</v>
      </c>
      <c r="K1" s="79" t="s">
        <v>13</v>
      </c>
      <c r="L1" s="79" t="s">
        <v>14</v>
      </c>
      <c r="M1" s="79" t="s">
        <v>15</v>
      </c>
      <c r="N1" s="79" t="s">
        <v>16</v>
      </c>
      <c r="O1" s="79" t="s">
        <v>17</v>
      </c>
      <c r="P1" s="79" t="s">
        <v>18</v>
      </c>
      <c r="Q1" s="79" t="s">
        <v>19</v>
      </c>
      <c r="R1" s="79" t="s">
        <v>20</v>
      </c>
      <c r="S1" s="79" t="s">
        <v>21</v>
      </c>
      <c r="T1" s="79" t="s">
        <v>22</v>
      </c>
      <c r="U1" s="79" t="s">
        <v>23</v>
      </c>
      <c r="V1" s="79" t="s">
        <v>24</v>
      </c>
      <c r="W1" s="79" t="s">
        <v>25</v>
      </c>
      <c r="X1" s="79" t="s">
        <v>26</v>
      </c>
      <c r="Y1" s="79" t="s">
        <v>27</v>
      </c>
      <c r="Z1" s="79" t="s">
        <v>28</v>
      </c>
    </row>
    <row r="2" spans="1:26" x14ac:dyDescent="0.55000000000000004">
      <c r="A2" s="80" t="s">
        <v>37</v>
      </c>
      <c r="B2" s="80" t="s">
        <v>38</v>
      </c>
      <c r="C2" s="80" t="s">
        <v>75</v>
      </c>
      <c r="D2" s="81">
        <v>-0.78899893905690988</v>
      </c>
      <c r="E2" s="81">
        <v>-0.45084525321594526</v>
      </c>
      <c r="F2" s="81">
        <v>-0.19797383477136066</v>
      </c>
      <c r="G2" s="81">
        <v>-0.70011668611435596</v>
      </c>
      <c r="H2" s="81">
        <v>1.1750881316098685</v>
      </c>
      <c r="I2" s="81">
        <v>0.73170716355419074</v>
      </c>
      <c r="J2" s="81">
        <v>3.8164419129879974</v>
      </c>
      <c r="K2" s="81">
        <v>2.9764551313159728</v>
      </c>
      <c r="L2" s="81">
        <v>0.95987913356484</v>
      </c>
      <c r="M2" s="81">
        <v>-5.6938363364028532</v>
      </c>
      <c r="N2" s="81">
        <v>4.1798824987365748</v>
      </c>
      <c r="O2" s="81">
        <v>3.9251927046341137</v>
      </c>
      <c r="P2" s="81">
        <v>0.41849759421759813</v>
      </c>
      <c r="Q2" s="81">
        <v>0.43759130314467143</v>
      </c>
      <c r="R2" s="81">
        <v>2.2095434313487203</v>
      </c>
      <c r="S2" s="81">
        <v>1.4919315276077185</v>
      </c>
      <c r="T2" s="81">
        <v>2.2299998678201547</v>
      </c>
      <c r="U2" s="81">
        <v>2.6802311140589126</v>
      </c>
      <c r="V2" s="81">
        <v>0.98123260600473827</v>
      </c>
      <c r="W2" s="81">
        <v>1.0754716357642309</v>
      </c>
      <c r="X2" s="81">
        <v>-3.8267687161929302</v>
      </c>
      <c r="Y2" s="81">
        <v>3.1638199419457465</v>
      </c>
      <c r="Z2" s="81">
        <v>1.8062089672435064</v>
      </c>
    </row>
    <row r="3" spans="1:26" x14ac:dyDescent="0.55000000000000004">
      <c r="A3" s="80" t="s">
        <v>63</v>
      </c>
      <c r="B3" s="80" t="s">
        <v>64</v>
      </c>
      <c r="C3" s="80" t="s">
        <v>75</v>
      </c>
      <c r="D3" s="81">
        <v>2.7646475514364823</v>
      </c>
      <c r="E3" s="81">
        <v>0.95433872870837888</v>
      </c>
      <c r="F3" s="81">
        <v>0.25394299896845496</v>
      </c>
      <c r="G3" s="81">
        <v>0.13862689077650714</v>
      </c>
      <c r="H3" s="81">
        <v>1.4235941581790712</v>
      </c>
      <c r="I3" s="81">
        <v>0.81784897365059805</v>
      </c>
      <c r="J3" s="81">
        <v>1.7906396808179608</v>
      </c>
      <c r="K3" s="81">
        <v>1.4870729803678557</v>
      </c>
      <c r="L3" s="81">
        <v>-0.96201284057929115</v>
      </c>
      <c r="M3" s="81">
        <v>-5.2809372082930963</v>
      </c>
      <c r="N3" s="81">
        <v>1.7132958391692199</v>
      </c>
      <c r="O3" s="81">
        <v>0.70733334703443518</v>
      </c>
      <c r="P3" s="81">
        <v>-2.9809057682377187</v>
      </c>
      <c r="Q3" s="81">
        <v>-1.841065450882482</v>
      </c>
      <c r="R3" s="81">
        <v>-4.5475423638379198E-3</v>
      </c>
      <c r="S3" s="81">
        <v>0.77830435071658144</v>
      </c>
      <c r="T3" s="81">
        <v>1.2934627315590745</v>
      </c>
      <c r="U3" s="81">
        <v>1.6678590410685672</v>
      </c>
      <c r="V3" s="81">
        <v>0.92581094101274175</v>
      </c>
      <c r="W3" s="81">
        <v>0.48319831659715362</v>
      </c>
      <c r="X3" s="81">
        <v>-8.9741921206069861</v>
      </c>
      <c r="Y3" s="81">
        <v>8.3137603180112478</v>
      </c>
      <c r="Z3" s="81">
        <v>3.724549463477004</v>
      </c>
    </row>
    <row r="4" spans="1:26" x14ac:dyDescent="0.55000000000000004">
      <c r="A4" s="80" t="s">
        <v>33</v>
      </c>
      <c r="B4" s="80" t="s">
        <v>34</v>
      </c>
      <c r="C4" s="80" t="s">
        <v>75</v>
      </c>
      <c r="D4" s="81">
        <v>2.9125029636670803</v>
      </c>
      <c r="E4" s="81">
        <v>0.38610342614575188</v>
      </c>
      <c r="F4" s="81">
        <v>4.1962499312560908E-2</v>
      </c>
      <c r="G4" s="81">
        <v>1.5351254992801273</v>
      </c>
      <c r="H4" s="81">
        <v>2.186115694421602</v>
      </c>
      <c r="I4" s="81">
        <v>1.663219980300795</v>
      </c>
      <c r="J4" s="81">
        <v>2.4493236011188486</v>
      </c>
      <c r="K4" s="81">
        <v>2.4247362433730473</v>
      </c>
      <c r="L4" s="81">
        <v>0.25494596012403292</v>
      </c>
      <c r="M4" s="81">
        <v>-5.6932363588226593</v>
      </c>
      <c r="N4" s="81">
        <v>4.0979179193013664</v>
      </c>
      <c r="O4" s="81">
        <v>2.38095237748297E-2</v>
      </c>
      <c r="P4" s="81">
        <v>1.374750999208743</v>
      </c>
      <c r="Q4" s="81">
        <v>2.0051001767726007</v>
      </c>
      <c r="R4" s="81">
        <v>0.29620551414262764</v>
      </c>
      <c r="S4" s="81">
        <v>1.5606266967490399</v>
      </c>
      <c r="T4" s="81">
        <v>0.75382674590353815</v>
      </c>
      <c r="U4" s="81">
        <v>1.675331751665027</v>
      </c>
      <c r="V4" s="81">
        <v>0.64339102346033883</v>
      </c>
      <c r="W4" s="81">
        <v>-0.402169200910933</v>
      </c>
      <c r="X4" s="81">
        <v>-4.1471188994769221</v>
      </c>
      <c r="Y4" s="81">
        <v>2.55932023865617</v>
      </c>
      <c r="Z4" s="81">
        <v>0.95473693778139079</v>
      </c>
    </row>
    <row r="5" spans="1:26" x14ac:dyDescent="0.55000000000000004">
      <c r="A5" s="80" t="s">
        <v>51</v>
      </c>
      <c r="B5" s="80" t="s">
        <v>52</v>
      </c>
      <c r="C5" s="80" t="s">
        <v>75</v>
      </c>
      <c r="D5" s="81">
        <v>3.7869551432397941</v>
      </c>
      <c r="E5" s="81">
        <v>1.9513715560523792</v>
      </c>
      <c r="F5" s="81">
        <v>1.7919856160727221</v>
      </c>
      <c r="G5" s="81">
        <v>3.1465725283096333</v>
      </c>
      <c r="H5" s="81">
        <v>2.4264965491200172</v>
      </c>
      <c r="I5" s="81">
        <v>1.8039008722737151</v>
      </c>
      <c r="J5" s="81">
        <v>1.3723501276203791</v>
      </c>
      <c r="K5" s="81">
        <v>1.4839694116349165</v>
      </c>
      <c r="L5" s="81">
        <v>-1.2242890007282767</v>
      </c>
      <c r="M5" s="81">
        <v>-4.6149574024255173</v>
      </c>
      <c r="N5" s="81">
        <v>2.2386886338141494</v>
      </c>
      <c r="O5" s="81">
        <v>1.1451015409866159</v>
      </c>
      <c r="P5" s="81">
        <v>1.5129367492999108</v>
      </c>
      <c r="Q5" s="81">
        <v>1.7923222159081291</v>
      </c>
      <c r="R5" s="81">
        <v>3.1957824656192173</v>
      </c>
      <c r="S5" s="81">
        <v>2.220258322227096</v>
      </c>
      <c r="T5" s="81">
        <v>1.9210634135701952</v>
      </c>
      <c r="U5" s="81">
        <v>2.6550696681192818</v>
      </c>
      <c r="V5" s="81">
        <v>1.4037920858856836</v>
      </c>
      <c r="W5" s="81">
        <v>1.6416109962887617</v>
      </c>
      <c r="X5" s="81">
        <v>-10.359900818779863</v>
      </c>
      <c r="Y5" s="81">
        <v>8.6749041144257291</v>
      </c>
      <c r="Z5" s="81">
        <v>4.346561400891531</v>
      </c>
    </row>
    <row r="6" spans="1:26" x14ac:dyDescent="0.55000000000000004">
      <c r="A6" s="80" t="s">
        <v>35</v>
      </c>
      <c r="B6" s="80" t="s">
        <v>36</v>
      </c>
      <c r="C6" s="80" t="s">
        <v>75</v>
      </c>
      <c r="D6" s="81">
        <v>3.8409911565912864</v>
      </c>
      <c r="E6" s="81">
        <v>1.3898964009563741</v>
      </c>
      <c r="F6" s="81">
        <v>1.1107510078449394</v>
      </c>
      <c r="G6" s="81">
        <v>0.90825133296128513</v>
      </c>
      <c r="H6" s="81">
        <v>2.5925062830019812</v>
      </c>
      <c r="I6" s="81">
        <v>1.9247422683400686</v>
      </c>
      <c r="J6" s="81">
        <v>3.4944450796020874</v>
      </c>
      <c r="K6" s="81">
        <v>3.1561209445336829</v>
      </c>
      <c r="L6" s="81">
        <v>0.64122644895196856</v>
      </c>
      <c r="M6" s="81">
        <v>-4.3487103639860862</v>
      </c>
      <c r="N6" s="81">
        <v>2.2245948885489355</v>
      </c>
      <c r="O6" s="81">
        <v>1.9008424821277004</v>
      </c>
      <c r="P6" s="81">
        <v>-0.70201125156845023</v>
      </c>
      <c r="Q6" s="81">
        <v>-8.2901486974122918E-2</v>
      </c>
      <c r="R6" s="81">
        <v>1.6002787244649284</v>
      </c>
      <c r="S6" s="81">
        <v>2.3092189684509776</v>
      </c>
      <c r="T6" s="81">
        <v>1.9717657120594083</v>
      </c>
      <c r="U6" s="81">
        <v>2.8450523732548589</v>
      </c>
      <c r="V6" s="81">
        <v>2.0663170148774554</v>
      </c>
      <c r="W6" s="81">
        <v>1.8050016687760575</v>
      </c>
      <c r="X6" s="81">
        <v>-5.6512319299067144</v>
      </c>
      <c r="Y6" s="81">
        <v>6.010881744643612</v>
      </c>
      <c r="Z6" s="81">
        <v>3.4459620729814162</v>
      </c>
    </row>
    <row r="7" spans="1:26" x14ac:dyDescent="0.55000000000000004">
      <c r="A7" s="80" t="s">
        <v>53</v>
      </c>
      <c r="B7" s="80" t="s">
        <v>54</v>
      </c>
      <c r="C7" s="80" t="s">
        <v>75</v>
      </c>
      <c r="D7" s="81">
        <v>3.9005251555162914</v>
      </c>
      <c r="E7" s="81">
        <v>1.6814684809707927</v>
      </c>
      <c r="F7" s="81">
        <v>1.135531482146007</v>
      </c>
      <c r="G7" s="81">
        <v>0.8231607566841177</v>
      </c>
      <c r="H7" s="81">
        <v>2.8297529286989089</v>
      </c>
      <c r="I7" s="81">
        <v>2.113247114732971</v>
      </c>
      <c r="J7" s="81">
        <v>4.8050135219318406</v>
      </c>
      <c r="K7" s="81">
        <v>2.0778639394281697</v>
      </c>
      <c r="L7" s="81">
        <v>0.94333185805228936</v>
      </c>
      <c r="M7" s="81">
        <v>-2.8733138284963218</v>
      </c>
      <c r="N7" s="81">
        <v>1.9494376231266273</v>
      </c>
      <c r="O7" s="81">
        <v>2.1927006326665435</v>
      </c>
      <c r="P7" s="81">
        <v>0.31313475107717181</v>
      </c>
      <c r="Q7" s="81">
        <v>0.57632667477179211</v>
      </c>
      <c r="R7" s="81">
        <v>0.9561830523715571</v>
      </c>
      <c r="S7" s="81">
        <v>1.1129123405746952</v>
      </c>
      <c r="T7" s="81">
        <v>1.0954644037204844</v>
      </c>
      <c r="U7" s="81">
        <v>2.2914199941702122</v>
      </c>
      <c r="V7" s="81">
        <v>1.8650660708199922</v>
      </c>
      <c r="W7" s="81">
        <v>1.8429718144589629</v>
      </c>
      <c r="X7" s="81">
        <v>-7.5404591624940736</v>
      </c>
      <c r="Y7" s="81">
        <v>6.4352096210493812</v>
      </c>
      <c r="Z7" s="81">
        <v>2.4547581766070721</v>
      </c>
    </row>
    <row r="8" spans="1:26" x14ac:dyDescent="0.55000000000000004">
      <c r="A8" s="80" t="s">
        <v>39</v>
      </c>
      <c r="B8" s="80" t="s">
        <v>40</v>
      </c>
      <c r="C8" s="80" t="s">
        <v>75</v>
      </c>
      <c r="D8" s="81">
        <v>3.9215178293130322</v>
      </c>
      <c r="E8" s="81">
        <v>1.9837214186329248</v>
      </c>
      <c r="F8" s="81">
        <v>2.9992553495693954</v>
      </c>
      <c r="G8" s="81">
        <v>1.8063851348452147</v>
      </c>
      <c r="H8" s="81">
        <v>3.0923638345656173</v>
      </c>
      <c r="I8" s="81">
        <v>2.7388424037973351</v>
      </c>
      <c r="J8" s="81">
        <v>2.3862753679297413</v>
      </c>
      <c r="K8" s="81">
        <v>2.6203312221865644</v>
      </c>
      <c r="L8" s="81">
        <v>-0.22572697476458359</v>
      </c>
      <c r="M8" s="81">
        <v>-2.9150862394973274</v>
      </c>
      <c r="N8" s="81">
        <v>3.0908063740360205</v>
      </c>
      <c r="O8" s="81">
        <v>3.1371943897366066</v>
      </c>
      <c r="P8" s="81">
        <v>1.7556613254060096</v>
      </c>
      <c r="Q8" s="81">
        <v>2.3258135739347807</v>
      </c>
      <c r="R8" s="81">
        <v>2.873466771849948</v>
      </c>
      <c r="S8" s="81">
        <v>0.64997099370913247</v>
      </c>
      <c r="T8" s="81">
        <v>1.0385509349179785</v>
      </c>
      <c r="U8" s="81">
        <v>3.033834902607893</v>
      </c>
      <c r="V8" s="81">
        <v>2.7429634311255455</v>
      </c>
      <c r="W8" s="81">
        <v>1.9084319253882995</v>
      </c>
      <c r="X8" s="81">
        <v>-5.0382334412835093</v>
      </c>
      <c r="Y8" s="81">
        <v>5.2869568910588924</v>
      </c>
      <c r="Z8" s="81">
        <v>3.8198663391339664</v>
      </c>
    </row>
    <row r="9" spans="1:26" x14ac:dyDescent="0.55000000000000004">
      <c r="A9" s="80" t="s">
        <v>31</v>
      </c>
      <c r="B9" s="80" t="s">
        <v>32</v>
      </c>
      <c r="C9" s="80" t="s">
        <v>75</v>
      </c>
      <c r="D9" s="81">
        <v>3.9236692270406337</v>
      </c>
      <c r="E9" s="81">
        <v>-1.2107438684266754</v>
      </c>
      <c r="F9" s="81">
        <v>-0.23658800192264096</v>
      </c>
      <c r="G9" s="81">
        <v>1.1855448614425512</v>
      </c>
      <c r="H9" s="81">
        <v>3.56544103201486</v>
      </c>
      <c r="I9" s="81">
        <v>3.1541392567278876</v>
      </c>
      <c r="J9" s="81">
        <v>2.7552982427312571</v>
      </c>
      <c r="K9" s="81">
        <v>3.7733926810883673</v>
      </c>
      <c r="L9" s="81">
        <v>3.5862279798605528</v>
      </c>
      <c r="M9" s="81">
        <v>-6.2952505529131599</v>
      </c>
      <c r="N9" s="81">
        <v>4.9713345620778995</v>
      </c>
      <c r="O9" s="81">
        <v>3.444045078351138</v>
      </c>
      <c r="P9" s="81">
        <v>3.5532107501490202</v>
      </c>
      <c r="Q9" s="81">
        <v>0.85210156409291926</v>
      </c>
      <c r="R9" s="81">
        <v>2.5037635028866418</v>
      </c>
      <c r="S9" s="81">
        <v>2.7023234255064636</v>
      </c>
      <c r="T9" s="81">
        <v>1.7724932340810824</v>
      </c>
      <c r="U9" s="81">
        <v>1.8717285247588791</v>
      </c>
      <c r="V9" s="81">
        <v>1.972082111177059</v>
      </c>
      <c r="W9" s="81">
        <v>-0.27814878127112763</v>
      </c>
      <c r="X9" s="81">
        <v>-8.6515868190597445</v>
      </c>
      <c r="Y9" s="81">
        <v>5.8378295230184136</v>
      </c>
      <c r="Z9" s="81">
        <v>3.8982314612612896</v>
      </c>
    </row>
    <row r="10" spans="1:26" x14ac:dyDescent="0.55000000000000004">
      <c r="A10" s="80" t="s">
        <v>49</v>
      </c>
      <c r="B10" s="80" t="s">
        <v>50</v>
      </c>
      <c r="C10" s="80" t="s">
        <v>75</v>
      </c>
      <c r="D10" s="81">
        <v>4.0771594794161814</v>
      </c>
      <c r="E10" s="81">
        <v>1.8750981321680342</v>
      </c>
      <c r="F10" s="81">
        <v>1.6959429227495662</v>
      </c>
      <c r="G10" s="81">
        <v>2.7962091006717031</v>
      </c>
      <c r="H10" s="81">
        <v>3.8525526006435058</v>
      </c>
      <c r="I10" s="81">
        <v>3.2021320613043116</v>
      </c>
      <c r="J10" s="81">
        <v>3.9619887112261694</v>
      </c>
      <c r="K10" s="81">
        <v>6.0698706067833825</v>
      </c>
      <c r="L10" s="81">
        <v>5.0941954465873636</v>
      </c>
      <c r="M10" s="81">
        <v>-2.5998883510855819</v>
      </c>
      <c r="N10" s="81">
        <v>2.7088566941968111</v>
      </c>
      <c r="O10" s="81">
        <v>1.5498949501704544</v>
      </c>
      <c r="P10" s="81">
        <v>2.2806876031918506</v>
      </c>
      <c r="Q10" s="81">
        <v>1.8418753951868752</v>
      </c>
      <c r="R10" s="81">
        <v>2.2877759325535862</v>
      </c>
      <c r="S10" s="81">
        <v>2.7063695817639939</v>
      </c>
      <c r="T10" s="81">
        <v>1.667472075961868</v>
      </c>
      <c r="U10" s="81">
        <v>2.2419212159774844</v>
      </c>
      <c r="V10" s="81">
        <v>2.9453848312678019</v>
      </c>
      <c r="W10" s="81">
        <v>2.2944390776931129</v>
      </c>
      <c r="X10" s="81">
        <v>-2.767802511405776</v>
      </c>
      <c r="Y10" s="81">
        <v>5.9454847612217208</v>
      </c>
      <c r="Z10" s="81">
        <v>1.9356345918708087</v>
      </c>
    </row>
    <row r="11" spans="1:26" x14ac:dyDescent="0.55000000000000004">
      <c r="A11" s="80" t="s">
        <v>47</v>
      </c>
      <c r="B11" s="80" t="s">
        <v>48</v>
      </c>
      <c r="C11" s="80" t="s">
        <v>75</v>
      </c>
      <c r="D11" s="81">
        <v>4.2000000006782585</v>
      </c>
      <c r="E11" s="81">
        <v>2.7000000001910394</v>
      </c>
      <c r="F11" s="81">
        <v>3.9796337557974795</v>
      </c>
      <c r="G11" s="81">
        <v>3.0906871816563495</v>
      </c>
      <c r="H11" s="81">
        <v>4.2243217271693112</v>
      </c>
      <c r="I11" s="81">
        <v>3.2104543565120309</v>
      </c>
      <c r="J11" s="81">
        <v>2.6379438004106959</v>
      </c>
      <c r="K11" s="81">
        <v>2.0499046110900423</v>
      </c>
      <c r="L11" s="81">
        <v>0.99540630999359792</v>
      </c>
      <c r="M11" s="81">
        <v>1.8925736085825946</v>
      </c>
      <c r="N11" s="81">
        <v>2.2265380779750359</v>
      </c>
      <c r="O11" s="81">
        <v>2.4089717800568593</v>
      </c>
      <c r="P11" s="81">
        <v>3.9184096253833616</v>
      </c>
      <c r="Q11" s="81">
        <v>2.6061984470602653</v>
      </c>
      <c r="R11" s="81">
        <v>2.6074010318852743</v>
      </c>
      <c r="S11" s="81">
        <v>2.2018101533680721</v>
      </c>
      <c r="T11" s="81">
        <v>2.7791426253722165</v>
      </c>
      <c r="U11" s="81">
        <v>2.318709386988175</v>
      </c>
      <c r="V11" s="81">
        <v>2.9063631150986708</v>
      </c>
      <c r="W11" s="81">
        <v>2.1811091061096022</v>
      </c>
      <c r="X11" s="81">
        <v>-0.3346863594501599</v>
      </c>
      <c r="Y11" s="81">
        <v>2.1118308892515074</v>
      </c>
      <c r="Z11" s="81">
        <v>4.2689463934986662</v>
      </c>
    </row>
    <row r="12" spans="1:26" x14ac:dyDescent="0.55000000000000004">
      <c r="A12" s="80" t="s">
        <v>65</v>
      </c>
      <c r="B12" s="80" t="s">
        <v>66</v>
      </c>
      <c r="C12" s="80" t="s">
        <v>75</v>
      </c>
      <c r="D12" s="81">
        <v>4.3187270581210413</v>
      </c>
      <c r="E12" s="81">
        <v>2.1759092847481583</v>
      </c>
      <c r="F12" s="81">
        <v>3.7003744040666788</v>
      </c>
      <c r="G12" s="81">
        <v>2.94907546754213</v>
      </c>
      <c r="H12" s="81">
        <v>4.5545599072177367</v>
      </c>
      <c r="I12" s="81">
        <v>3.4832203202525847</v>
      </c>
      <c r="J12" s="81">
        <v>2.7828106258432683</v>
      </c>
      <c r="K12" s="81">
        <v>2.0105075516332818</v>
      </c>
      <c r="L12" s="81">
        <v>0.1221884429746467</v>
      </c>
      <c r="M12" s="81">
        <v>-1.5380891352558308</v>
      </c>
      <c r="N12" s="81">
        <v>3.0397328812795621</v>
      </c>
      <c r="O12" s="81">
        <v>3.1685562785881842</v>
      </c>
      <c r="P12" s="81">
        <v>2.396232384657452</v>
      </c>
      <c r="Q12" s="81">
        <v>2.4854680082658831</v>
      </c>
      <c r="R12" s="81">
        <v>1.4138264522379274</v>
      </c>
      <c r="S12" s="81">
        <v>1.3218622367822945</v>
      </c>
      <c r="T12" s="81">
        <v>0.66455230785811636</v>
      </c>
      <c r="U12" s="81">
        <v>1.1579469514764611</v>
      </c>
      <c r="V12" s="81">
        <v>1.5567838465237998</v>
      </c>
      <c r="W12" s="81">
        <v>0.25993557707082005</v>
      </c>
      <c r="X12" s="81">
        <v>-5.9633581828399684</v>
      </c>
      <c r="Y12" s="81">
        <v>4.7030620638949898</v>
      </c>
      <c r="Z12" s="81">
        <v>1.91040616938092</v>
      </c>
    </row>
    <row r="13" spans="1:26" x14ac:dyDescent="0.55000000000000004">
      <c r="A13" s="80" t="s">
        <v>57</v>
      </c>
      <c r="B13" s="80" t="s">
        <v>58</v>
      </c>
      <c r="C13" s="80" t="s">
        <v>75</v>
      </c>
      <c r="D13" s="81">
        <v>4.3879494474561795</v>
      </c>
      <c r="E13" s="81">
        <v>3.6434664478621528</v>
      </c>
      <c r="F13" s="81">
        <v>4.4994753888963288</v>
      </c>
      <c r="G13" s="81">
        <v>4.7803691237610906</v>
      </c>
      <c r="H13" s="81">
        <v>5.0308739449402395</v>
      </c>
      <c r="I13" s="81">
        <v>4.3085427141123631</v>
      </c>
      <c r="J13" s="81">
        <v>5.2643265946672386</v>
      </c>
      <c r="K13" s="81">
        <v>5.799548415032163</v>
      </c>
      <c r="L13" s="81">
        <v>3.0129848728116713</v>
      </c>
      <c r="M13" s="81">
        <v>4.6288711834603191</v>
      </c>
      <c r="N13" s="81">
        <v>6.2238541798264038</v>
      </c>
      <c r="O13" s="81">
        <v>6.1697842077100802</v>
      </c>
      <c r="P13" s="81">
        <v>6.0300506530561506</v>
      </c>
      <c r="Q13" s="81">
        <v>5.5572636889100977</v>
      </c>
      <c r="R13" s="81">
        <v>5.0066684257549952</v>
      </c>
      <c r="S13" s="81">
        <v>4.8763223002212328</v>
      </c>
      <c r="T13" s="81">
        <v>5.0330691828017677</v>
      </c>
      <c r="U13" s="81">
        <v>5.0697859013491637</v>
      </c>
      <c r="V13" s="81">
        <v>5.1742915395502393</v>
      </c>
      <c r="W13" s="81">
        <v>5.0192876804628241</v>
      </c>
      <c r="X13" s="81">
        <v>-2.065511829341645</v>
      </c>
      <c r="Y13" s="81">
        <v>3.7030553569093314</v>
      </c>
      <c r="Z13" s="81">
        <v>5.3085950054360751</v>
      </c>
    </row>
    <row r="14" spans="1:26" x14ac:dyDescent="0.55000000000000004">
      <c r="A14" s="80" t="s">
        <v>55</v>
      </c>
      <c r="B14" s="80" t="s">
        <v>56</v>
      </c>
      <c r="C14" s="87" t="s">
        <v>75</v>
      </c>
      <c r="D14" s="81">
        <v>4.9200677477757608</v>
      </c>
      <c r="E14" s="86">
        <v>5.1000512257256787</v>
      </c>
      <c r="F14" s="86">
        <v>7.7251426754717301</v>
      </c>
      <c r="G14" s="86">
        <v>3.1472911937340911</v>
      </c>
      <c r="H14" s="86">
        <v>5.197391363243824</v>
      </c>
      <c r="I14" s="86">
        <v>5.2770519729546663</v>
      </c>
      <c r="J14" s="86">
        <v>5.6038064589588856</v>
      </c>
      <c r="K14" s="86">
        <v>5.3604740539416156</v>
      </c>
      <c r="L14" s="86">
        <v>3.1910438863287993</v>
      </c>
      <c r="M14" s="86">
        <v>0.79269898951818618</v>
      </c>
      <c r="N14" s="86">
        <v>6.8048249178367115</v>
      </c>
      <c r="O14" s="86">
        <v>3.6856677821252646</v>
      </c>
      <c r="P14" s="86">
        <v>2.4025309924618625</v>
      </c>
      <c r="Q14" s="86">
        <v>3.1647086364718433</v>
      </c>
      <c r="R14" s="86">
        <v>3.2024537945736</v>
      </c>
      <c r="S14" s="86">
        <v>2.8091032682413299</v>
      </c>
      <c r="T14" s="86">
        <v>2.9468817150862634</v>
      </c>
      <c r="U14" s="86">
        <v>3.1596357401277686</v>
      </c>
      <c r="V14" s="86">
        <v>2.9074037737713496</v>
      </c>
      <c r="W14" s="86">
        <v>2.243977860110121</v>
      </c>
      <c r="X14" s="86">
        <v>-0.7094153593976813</v>
      </c>
      <c r="Y14" s="86">
        <v>4.3047348190696937</v>
      </c>
      <c r="Z14" s="86">
        <v>2.6126721918722637</v>
      </c>
    </row>
    <row r="15" spans="1:26" x14ac:dyDescent="0.55000000000000004">
      <c r="A15" s="80" t="s">
        <v>43</v>
      </c>
      <c r="B15" s="80" t="s">
        <v>44</v>
      </c>
      <c r="C15" s="80" t="s">
        <v>75</v>
      </c>
      <c r="D15" s="81">
        <v>5.029283993782613</v>
      </c>
      <c r="E15" s="81">
        <v>2.0251273154189278</v>
      </c>
      <c r="F15" s="81">
        <v>3.0534618590931188</v>
      </c>
      <c r="G15" s="81">
        <v>1.1408289982488782</v>
      </c>
      <c r="H15" s="81">
        <v>5.7599646367095403</v>
      </c>
      <c r="I15" s="81">
        <v>5.5738501216957275</v>
      </c>
      <c r="J15" s="81">
        <v>2.7884022241319002</v>
      </c>
      <c r="K15" s="81">
        <v>1.8471302549179569</v>
      </c>
      <c r="L15" s="81">
        <v>6.2497727521568294</v>
      </c>
      <c r="M15" s="81">
        <v>-0.12581200216116883</v>
      </c>
      <c r="N15" s="81">
        <v>7.5282258181536434</v>
      </c>
      <c r="O15" s="81">
        <v>3.9744230794470212</v>
      </c>
      <c r="P15" s="81">
        <v>1.9211759857653732</v>
      </c>
      <c r="Q15" s="81">
        <v>3.004822669444323</v>
      </c>
      <c r="R15" s="81">
        <v>0.50395574024224743</v>
      </c>
      <c r="S15" s="81">
        <v>-3.5457633926942549</v>
      </c>
      <c r="T15" s="81">
        <v>-3.275916907821923</v>
      </c>
      <c r="U15" s="81">
        <v>1.3228690540439914</v>
      </c>
      <c r="V15" s="81">
        <v>1.7836667616339952</v>
      </c>
      <c r="W15" s="81">
        <v>1.2207778236084152</v>
      </c>
      <c r="X15" s="81">
        <v>-3.2767587964736009</v>
      </c>
      <c r="Y15" s="81">
        <v>4.9888497006601824</v>
      </c>
      <c r="Z15" s="81">
        <v>2.900530615226927</v>
      </c>
    </row>
    <row r="16" spans="1:26" x14ac:dyDescent="0.55000000000000004">
      <c r="A16" s="80" t="s">
        <v>59</v>
      </c>
      <c r="B16" s="80" t="s">
        <v>60</v>
      </c>
      <c r="C16" s="87" t="s">
        <v>75</v>
      </c>
      <c r="D16" s="81">
        <v>5.1385391859302558</v>
      </c>
      <c r="E16" s="86">
        <v>4.8239662655577149</v>
      </c>
      <c r="F16" s="86">
        <v>4.6999919091425824</v>
      </c>
      <c r="G16" s="86">
        <v>7.2999523452818948</v>
      </c>
      <c r="H16" s="86">
        <v>7.1999478695485664</v>
      </c>
      <c r="I16" s="86">
        <v>5.6925713026131604</v>
      </c>
      <c r="J16" s="86">
        <v>5.5009517853706456</v>
      </c>
      <c r="K16" s="86">
        <v>6.3450222276184576</v>
      </c>
      <c r="L16" s="86">
        <v>6.0137035992283074</v>
      </c>
      <c r="M16" s="86">
        <v>-7.7999939127127504</v>
      </c>
      <c r="N16" s="86">
        <v>4.4999999992067217</v>
      </c>
      <c r="O16" s="86">
        <v>4.3000291856774879</v>
      </c>
      <c r="P16" s="86">
        <v>4.0240861574692133</v>
      </c>
      <c r="Q16" s="86">
        <v>1.75542214874298</v>
      </c>
      <c r="R16" s="86">
        <v>0.73626722176567228</v>
      </c>
      <c r="S16" s="86">
        <v>-1.9727192258040844</v>
      </c>
      <c r="T16" s="86">
        <v>0.19369007126053361</v>
      </c>
      <c r="U16" s="86">
        <v>1.8257900640183351</v>
      </c>
      <c r="V16" s="86">
        <v>2.8072454105960105</v>
      </c>
      <c r="W16" s="86">
        <v>2.198075713350093</v>
      </c>
      <c r="X16" s="86">
        <v>-2.6536545010277308</v>
      </c>
      <c r="Y16" s="86">
        <v>5.6142903757834546</v>
      </c>
      <c r="Z16" s="86">
        <v>-2.0697115252773131</v>
      </c>
    </row>
    <row r="17" spans="1:26" x14ac:dyDescent="0.55000000000000004">
      <c r="A17" s="80" t="s">
        <v>45</v>
      </c>
      <c r="B17" s="80" t="s">
        <v>46</v>
      </c>
      <c r="C17" s="80" t="s">
        <v>75</v>
      </c>
      <c r="D17" s="81">
        <v>5.6254161459300178</v>
      </c>
      <c r="E17" s="81">
        <v>2.5787410460364981</v>
      </c>
      <c r="F17" s="81">
        <v>3.8039753211217544</v>
      </c>
      <c r="G17" s="81">
        <v>7.8603814759073032</v>
      </c>
      <c r="H17" s="81">
        <v>7.9229366125900924</v>
      </c>
      <c r="I17" s="81">
        <v>6.3999654479946884</v>
      </c>
      <c r="J17" s="81">
        <v>8.200068254563206</v>
      </c>
      <c r="K17" s="81">
        <v>8.4999777691651133</v>
      </c>
      <c r="L17" s="81">
        <v>5.1999692640495709</v>
      </c>
      <c r="M17" s="81">
        <v>7.861888832448912</v>
      </c>
      <c r="N17" s="81">
        <v>8.4975847021260904</v>
      </c>
      <c r="O17" s="81">
        <v>5.241315001514451</v>
      </c>
      <c r="P17" s="81">
        <v>5.4563887526115167</v>
      </c>
      <c r="Q17" s="81">
        <v>6.3861064011653212</v>
      </c>
      <c r="R17" s="81">
        <v>7.4102276005842498</v>
      </c>
      <c r="S17" s="81">
        <v>7.9962537904031592</v>
      </c>
      <c r="T17" s="81">
        <v>8.2563054990352214</v>
      </c>
      <c r="U17" s="81">
        <v>6.7953834234342452</v>
      </c>
      <c r="V17" s="81">
        <v>6.453851340741906</v>
      </c>
      <c r="W17" s="81">
        <v>3.8714369392802439</v>
      </c>
      <c r="X17" s="81">
        <v>-5.8310532205086361</v>
      </c>
      <c r="Y17" s="81">
        <v>9.0502779086994138</v>
      </c>
      <c r="Z17" s="81">
        <v>7.2396932808144925</v>
      </c>
    </row>
    <row r="18" spans="1:26" x14ac:dyDescent="0.55000000000000004">
      <c r="A18" s="80" t="s">
        <v>0</v>
      </c>
      <c r="B18" s="80" t="s">
        <v>1</v>
      </c>
      <c r="C18" s="80" t="s">
        <v>75</v>
      </c>
      <c r="D18" s="86">
        <v>6.9332397045590426</v>
      </c>
      <c r="E18" s="81">
        <v>-5.7500065546425674</v>
      </c>
      <c r="F18" s="81">
        <v>-2.8191744026317167</v>
      </c>
      <c r="G18" s="81">
        <v>11.242061385412086</v>
      </c>
      <c r="H18" s="81">
        <v>7.9584416657631891</v>
      </c>
      <c r="I18" s="81">
        <v>7.9234306210748571</v>
      </c>
      <c r="J18" s="81">
        <v>8.0607325721601057</v>
      </c>
      <c r="K18" s="81">
        <v>7.66081506586751</v>
      </c>
      <c r="L18" s="81">
        <v>3.0866980595239539</v>
      </c>
      <c r="M18" s="81">
        <v>-2.0592491890459144</v>
      </c>
      <c r="N18" s="81">
        <v>5.03949288842378</v>
      </c>
      <c r="O18" s="81">
        <v>10.993761628254845</v>
      </c>
      <c r="P18" s="81">
        <v>5.4273942661127563</v>
      </c>
      <c r="Q18" s="81">
        <v>2.8503429910609697</v>
      </c>
      <c r="R18" s="81">
        <v>4.0276512150738881</v>
      </c>
      <c r="S18" s="81">
        <v>4.6901450733436434</v>
      </c>
      <c r="T18" s="81">
        <v>2.3630745792766703</v>
      </c>
      <c r="U18" s="81">
        <v>-6.9698015609361619E-2</v>
      </c>
      <c r="V18" s="81">
        <v>2.762243737556048</v>
      </c>
      <c r="W18" s="81">
        <v>0.83228032683084052</v>
      </c>
      <c r="X18" s="81">
        <v>-4.3413876779932252</v>
      </c>
      <c r="Y18" s="81">
        <v>4.3261046758584314</v>
      </c>
      <c r="Z18" s="81">
        <v>8.6807361016893623</v>
      </c>
    </row>
    <row r="19" spans="1:26" x14ac:dyDescent="0.55000000000000004">
      <c r="A19" s="80" t="s">
        <v>29</v>
      </c>
      <c r="B19" s="80" t="s">
        <v>30</v>
      </c>
      <c r="C19" s="80" t="s">
        <v>75</v>
      </c>
      <c r="D19" s="86">
        <v>8.4900934036516134</v>
      </c>
      <c r="E19" s="81">
        <v>-4.4088396825855654</v>
      </c>
      <c r="F19" s="81">
        <v>-10.894484828590279</v>
      </c>
      <c r="G19" s="81">
        <v>8.8370407957692407</v>
      </c>
      <c r="H19" s="81">
        <v>9.0295733006815198</v>
      </c>
      <c r="I19" s="81">
        <v>8.8516599201343666</v>
      </c>
      <c r="J19" s="81">
        <v>8.0471515004302745</v>
      </c>
      <c r="K19" s="81">
        <v>9.0076508750475739</v>
      </c>
      <c r="L19" s="81">
        <v>4.057233103464057</v>
      </c>
      <c r="M19" s="81">
        <v>-5.9185250763494679</v>
      </c>
      <c r="N19" s="81">
        <v>10.125398156100232</v>
      </c>
      <c r="O19" s="81">
        <v>6.003951692805785</v>
      </c>
      <c r="P19" s="81">
        <v>-1.0264204544320989</v>
      </c>
      <c r="Q19" s="81">
        <v>2.4053237807943617</v>
      </c>
      <c r="R19" s="81">
        <v>-2.5126153208139357</v>
      </c>
      <c r="S19" s="81">
        <v>2.7311598282894352</v>
      </c>
      <c r="T19" s="81">
        <v>-2.0803278437781074</v>
      </c>
      <c r="U19" s="81">
        <v>2.8185029777591808</v>
      </c>
      <c r="V19" s="81">
        <v>-2.6173964628203805</v>
      </c>
      <c r="W19" s="81">
        <v>-2.000861002857846</v>
      </c>
      <c r="X19" s="81">
        <v>-9.9004848136464005</v>
      </c>
      <c r="Y19" s="81">
        <v>10.71800993370951</v>
      </c>
      <c r="Z19" s="81">
        <v>4.9563699600823554</v>
      </c>
    </row>
    <row r="20" spans="1:26" x14ac:dyDescent="0.55000000000000004">
      <c r="A20" s="80" t="s">
        <v>41</v>
      </c>
      <c r="B20" s="80" t="s">
        <v>42</v>
      </c>
      <c r="C20" s="87" t="s">
        <v>75</v>
      </c>
      <c r="D20" s="86">
        <v>9.0608333250853406</v>
      </c>
      <c r="E20" s="86">
        <v>4.8523995715128052</v>
      </c>
      <c r="F20" s="86">
        <v>6.4477220468159402</v>
      </c>
      <c r="G20" s="86">
        <v>5.7632060665471414</v>
      </c>
      <c r="H20" s="86">
        <v>9.7959363892028222</v>
      </c>
      <c r="I20" s="86">
        <v>8.992304936265171</v>
      </c>
      <c r="J20" s="86">
        <v>6.9479880857199277</v>
      </c>
      <c r="K20" s="86">
        <v>5.0435079315710425</v>
      </c>
      <c r="L20" s="86">
        <v>0.81502457300770459</v>
      </c>
      <c r="M20" s="86">
        <v>-4.8231539530176946</v>
      </c>
      <c r="N20" s="86">
        <v>8.427104322761906</v>
      </c>
      <c r="O20" s="86">
        <v>11.200110583350352</v>
      </c>
      <c r="P20" s="86">
        <v>4.7884927110800817</v>
      </c>
      <c r="Q20" s="86">
        <v>8.4858169965302608</v>
      </c>
      <c r="R20" s="86">
        <v>4.9397151613657968</v>
      </c>
      <c r="S20" s="86">
        <v>6.0844869044366305</v>
      </c>
      <c r="T20" s="86">
        <v>3.323084208457459</v>
      </c>
      <c r="U20" s="86">
        <v>7.5019974891749115</v>
      </c>
      <c r="V20" s="86">
        <v>3.0131799084650766</v>
      </c>
      <c r="W20" s="86">
        <v>0.81852593620826042</v>
      </c>
      <c r="X20" s="86">
        <v>1.8598396900154199</v>
      </c>
      <c r="Y20" s="86">
        <v>11.439384744642098</v>
      </c>
      <c r="Z20" s="86">
        <v>5.5334692659637881</v>
      </c>
    </row>
    <row r="21" spans="1:26" ht="14.7" thickBot="1" x14ac:dyDescent="0.6">
      <c r="A21" s="80" t="s">
        <v>61</v>
      </c>
      <c r="B21" s="80" t="s">
        <v>62</v>
      </c>
      <c r="C21" s="87" t="s">
        <v>75</v>
      </c>
      <c r="D21" s="86">
        <v>10.000066813651486</v>
      </c>
      <c r="E21" s="86">
        <v>8.3357334757762516</v>
      </c>
      <c r="F21" s="86">
        <v>9.1336307895446964</v>
      </c>
      <c r="G21" s="86">
        <v>10.038030484736964</v>
      </c>
      <c r="H21" s="86">
        <v>10.11362137880208</v>
      </c>
      <c r="I21" s="86">
        <v>11.394591808688787</v>
      </c>
      <c r="J21" s="86">
        <v>12.720955663945105</v>
      </c>
      <c r="K21" s="86">
        <v>14.230860934047087</v>
      </c>
      <c r="L21" s="86">
        <v>9.6506789183468982</v>
      </c>
      <c r="M21" s="86">
        <v>9.3987256316321037</v>
      </c>
      <c r="N21" s="86">
        <v>10.635871065957176</v>
      </c>
      <c r="O21" s="86">
        <v>9.5508321788419863</v>
      </c>
      <c r="P21" s="86">
        <v>7.8637364484526415</v>
      </c>
      <c r="Q21" s="86">
        <v>7.7661500973591018</v>
      </c>
      <c r="R21" s="86">
        <v>7.4257636559691633</v>
      </c>
      <c r="S21" s="86">
        <v>7.0413288794755005</v>
      </c>
      <c r="T21" s="86">
        <v>6.8487622044418401</v>
      </c>
      <c r="U21" s="86">
        <v>6.9472007931653366</v>
      </c>
      <c r="V21" s="86">
        <v>6.7497738325114796</v>
      </c>
      <c r="W21" s="86">
        <v>5.950500754393147</v>
      </c>
      <c r="X21" s="86">
        <v>2.2386383567412054</v>
      </c>
      <c r="Y21" s="86">
        <v>8.4484694162814122</v>
      </c>
      <c r="Z21" s="86">
        <v>2.9890840860365273</v>
      </c>
    </row>
    <row r="22" spans="1:26" x14ac:dyDescent="0.55000000000000004">
      <c r="C22" s="56" t="s">
        <v>80</v>
      </c>
      <c r="D22" s="101">
        <f>AVERAGE(D2:D21)</f>
        <v>4.8221593196892742</v>
      </c>
      <c r="E22" s="60">
        <f>AVERAGE(E2:E21)</f>
        <v>1.7318478708796554</v>
      </c>
      <c r="F22" s="60">
        <f>AVERAGE(F2:F21)</f>
        <v>2.096227947934898</v>
      </c>
      <c r="G22" s="60">
        <f>AVERAGE(G2:G21)</f>
        <v>3.8894341968726978</v>
      </c>
      <c r="H22" s="60">
        <f t="shared" ref="H22:Y22" si="0">AVERAGE(H2:H21)</f>
        <v>4.996574000406218</v>
      </c>
      <c r="I22" s="60">
        <f t="shared" si="0"/>
        <v>4.4628711808490138</v>
      </c>
      <c r="J22" s="60">
        <f t="shared" si="0"/>
        <v>4.7693456906083771</v>
      </c>
      <c r="K22" s="60">
        <f t="shared" si="0"/>
        <v>4.6962606425321898</v>
      </c>
      <c r="L22" s="60">
        <f t="shared" si="0"/>
        <v>2.5731240896477465</v>
      </c>
      <c r="M22" s="60">
        <f t="shared" si="0"/>
        <v>-1.9002640832411657</v>
      </c>
      <c r="N22" s="60">
        <f t="shared" si="0"/>
        <v>5.0111721021327433</v>
      </c>
      <c r="O22" s="60">
        <f t="shared" si="0"/>
        <v>4.2361759023927377</v>
      </c>
      <c r="P22" s="60">
        <f>AVERAGE(P2:P21)</f>
        <v>2.5364020137681225</v>
      </c>
      <c r="Q22" s="60">
        <f t="shared" si="0"/>
        <v>2.7187393915880285</v>
      </c>
      <c r="R22" s="60">
        <f t="shared" si="0"/>
        <v>2.5339883415756135</v>
      </c>
      <c r="S22" s="60">
        <f t="shared" si="0"/>
        <v>2.4882953011684328</v>
      </c>
      <c r="T22" s="60">
        <f t="shared" si="0"/>
        <v>2.039820838079192</v>
      </c>
      <c r="U22" s="60">
        <f t="shared" si="0"/>
        <v>2.9905286175804662</v>
      </c>
      <c r="V22" s="60">
        <f t="shared" si="0"/>
        <v>2.4521723459629774</v>
      </c>
      <c r="W22" s="60">
        <f t="shared" si="0"/>
        <v>1.648292708367552</v>
      </c>
      <c r="X22" s="60">
        <f t="shared" si="0"/>
        <v>-4.3967563556564473</v>
      </c>
      <c r="Y22" s="60">
        <f t="shared" si="0"/>
        <v>6.0818118519395465</v>
      </c>
      <c r="Z22" s="60">
        <f>AVERAGE(Z2:Z21)</f>
        <v>3.5358650477986027</v>
      </c>
    </row>
    <row r="23" spans="1:26" x14ac:dyDescent="0.55000000000000004">
      <c r="C23" s="57" t="s">
        <v>81</v>
      </c>
      <c r="D23" s="102">
        <f>MEDIAN(D2:D21)</f>
        <v>4.2593635293996499</v>
      </c>
      <c r="E23" s="61">
        <f>MEDIAN(E2:E21)</f>
        <v>1.967546487342652</v>
      </c>
      <c r="F23" s="61">
        <f t="shared" ref="F23:Z23" si="1">MEDIAN(F2:F21)</f>
        <v>2.3956204828210588</v>
      </c>
      <c r="G23" s="61">
        <f t="shared" si="1"/>
        <v>3.0198813245992397</v>
      </c>
      <c r="H23" s="61">
        <f t="shared" si="1"/>
        <v>4.389440817193524</v>
      </c>
      <c r="I23" s="61">
        <f>MEDIAN(I2:I21)</f>
        <v>3.3468373383823078</v>
      </c>
      <c r="J23" s="61">
        <f t="shared" si="1"/>
        <v>3.8892153121070834</v>
      </c>
      <c r="K23" s="61">
        <f t="shared" si="1"/>
        <v>3.4647568128110251</v>
      </c>
      <c r="L23" s="61">
        <f t="shared" si="1"/>
        <v>2.0041955914026346</v>
      </c>
      <c r="M23" s="61">
        <f t="shared" si="1"/>
        <v>-2.8942000339968246</v>
      </c>
      <c r="N23" s="61">
        <f t="shared" si="1"/>
        <v>4.3399412489716482</v>
      </c>
      <c r="O23" s="61">
        <f t="shared" si="1"/>
        <v>3.5648564302382013</v>
      </c>
      <c r="P23" s="61">
        <f t="shared" si="1"/>
        <v>2.3384599939246513</v>
      </c>
      <c r="Q23" s="61">
        <f t="shared" si="1"/>
        <v>2.3655686773645712</v>
      </c>
      <c r="R23" s="61">
        <f t="shared" si="1"/>
        <v>2.395769717720114</v>
      </c>
      <c r="S23" s="61">
        <f t="shared" si="1"/>
        <v>2.2647386453390368</v>
      </c>
      <c r="T23" s="61">
        <f t="shared" si="1"/>
        <v>1.8467783238256388</v>
      </c>
      <c r="U23" s="61">
        <f t="shared" si="1"/>
        <v>2.4868895275537284</v>
      </c>
      <c r="V23" s="61">
        <f t="shared" si="1"/>
        <v>2.4046402230015005</v>
      </c>
      <c r="W23" s="61">
        <f t="shared" si="1"/>
        <v>1.7233063325324096</v>
      </c>
      <c r="X23" s="61">
        <f>MEDIAN(X2:X21)</f>
        <v>-4.2442532887350737</v>
      </c>
      <c r="Y23" s="61">
        <f t="shared" si="1"/>
        <v>5.7260599494009341</v>
      </c>
      <c r="Z23" s="61">
        <f t="shared" si="1"/>
        <v>3.5852557682292101</v>
      </c>
    </row>
    <row r="24" spans="1:26" x14ac:dyDescent="0.55000000000000004">
      <c r="C24" s="58" t="s">
        <v>83</v>
      </c>
      <c r="D24" s="62">
        <f>_xlfn.VAR.P(D2:D21)</f>
        <v>5.4368402327260812</v>
      </c>
      <c r="E24" s="62">
        <f>_xlfn.VAR.P(E2:E21)</f>
        <v>9.4811763642956954</v>
      </c>
      <c r="F24" s="62">
        <f>_xlfn.VAR.P(F2:F21)</f>
        <v>16.84275852320377</v>
      </c>
      <c r="G24" s="62">
        <f>_xlfn.VAR.P(G2:G21)</f>
        <v>11.501988811385354</v>
      </c>
      <c r="H24" s="62">
        <f>_xlfn.VAR.P(H2:H21)</f>
        <v>7.4210890903752489</v>
      </c>
      <c r="I24" s="62">
        <f>_xlfn.VAR.P(I2:I21)</f>
        <v>8.4934246190119644</v>
      </c>
      <c r="J24" s="62">
        <f>_xlfn.VAR.P(J2:J21)</f>
        <v>7.696413371677199</v>
      </c>
      <c r="K24" s="62">
        <f>_xlfn.VAR.P(K2:K21)</f>
        <v>10.229811334774668</v>
      </c>
      <c r="L24" s="62">
        <f>_xlfn.VAR.P(L2:L21)</f>
        <v>7.673725544292143</v>
      </c>
      <c r="M24" s="62">
        <f>_xlfn.VAR.P(M2:M21)</f>
        <v>21.269450901947913</v>
      </c>
      <c r="N24" s="62">
        <f>_xlfn.VAR.P(N2:N21)</f>
        <v>7.5379712313573233</v>
      </c>
      <c r="O24" s="62">
        <f>_xlfn.VAR.P(O2:O21)</f>
        <v>9.6832179379617198</v>
      </c>
      <c r="P24" s="62">
        <f>_xlfn.VAR.P(P2:P21)</f>
        <v>6.7118635798772281</v>
      </c>
      <c r="Q24" s="62">
        <f>_xlfn.VAR.P(Q2:Q21)</f>
        <v>6.2921705200150173</v>
      </c>
      <c r="R24" s="62">
        <f>_xlfn.VAR.P(R2:R21)</f>
        <v>5.5950523828902483</v>
      </c>
      <c r="S24" s="62">
        <f>_xlfn.VAR.P(S2:S21)</f>
        <v>7.1355978292988649</v>
      </c>
      <c r="T24" s="62">
        <f>_xlfn.VAR.P(T2:T21)</f>
        <v>6.4376597899710717</v>
      </c>
      <c r="U24" s="62">
        <f>_xlfn.VAR.P(U2:U21)</f>
        <v>3.9095674128390225</v>
      </c>
      <c r="V24" s="62">
        <f>_xlfn.VAR.P(V2:V21)</f>
        <v>3.9854243303685721</v>
      </c>
      <c r="W24" s="62">
        <f>_xlfn.VAR.P(W2:W21)</f>
        <v>3.1342901470419453</v>
      </c>
      <c r="X24" s="62">
        <f>_xlfn.VAR.P(X2:X21)</f>
        <v>12.366387564958417</v>
      </c>
      <c r="Y24" s="62">
        <f>_xlfn.VAR.P(Y2:Y21)</f>
        <v>6.4526393686782741</v>
      </c>
      <c r="Z24" s="62">
        <f>_xlfn.VAR.P(Z2:Z21)</f>
        <v>4.9896064525899559</v>
      </c>
    </row>
    <row r="25" spans="1:26" ht="14.7" thickBot="1" x14ac:dyDescent="0.6">
      <c r="C25" s="59" t="s">
        <v>82</v>
      </c>
      <c r="D25" s="63">
        <f>_xlfn.STDEV.P(D2:D21)</f>
        <v>2.3317032900277175</v>
      </c>
      <c r="E25" s="63">
        <f>_xlfn.STDEV.P(E2:E21)</f>
        <v>3.079151890423026</v>
      </c>
      <c r="F25" s="63">
        <f>_xlfn.STDEV.P(F2:F21)</f>
        <v>4.1039929974603719</v>
      </c>
      <c r="G25" s="63">
        <f>_xlfn.STDEV.P(G2:G21)</f>
        <v>3.3914582131268189</v>
      </c>
      <c r="H25" s="63">
        <f>_xlfn.STDEV.P(H2:H21)</f>
        <v>2.7241675958676348</v>
      </c>
      <c r="I25" s="63">
        <f>_xlfn.STDEV.P(I2:I21)</f>
        <v>2.9143480607182055</v>
      </c>
      <c r="J25" s="63">
        <f>_xlfn.STDEV.P(J2:J21)</f>
        <v>2.7742410442636736</v>
      </c>
      <c r="K25" s="63">
        <f>_xlfn.STDEV.P(K2:K21)</f>
        <v>3.1984076248618889</v>
      </c>
      <c r="L25" s="63">
        <f>_xlfn.STDEV.P(L2:L21)</f>
        <v>2.7701490112071845</v>
      </c>
      <c r="M25" s="63">
        <f>_xlfn.STDEV.P(M2:M21)</f>
        <v>4.6118814926175098</v>
      </c>
      <c r="N25" s="63">
        <f>_xlfn.STDEV.P(N2:N21)</f>
        <v>2.7455366017151044</v>
      </c>
      <c r="O25" s="63">
        <f>_xlfn.STDEV.P(O2:O21)</f>
        <v>3.1117869364662036</v>
      </c>
      <c r="P25" s="63">
        <f>_xlfn.STDEV.P(P2:P21)</f>
        <v>2.5907264579413298</v>
      </c>
      <c r="Q25" s="63">
        <f>_xlfn.STDEV.P(Q2:Q21)</f>
        <v>2.5084199249756844</v>
      </c>
      <c r="R25" s="63">
        <f>_xlfn.STDEV.P(R2:R21)</f>
        <v>2.3653863073270398</v>
      </c>
      <c r="S25" s="63">
        <f>_xlfn.STDEV.P(S2:S21)</f>
        <v>2.6712539806800222</v>
      </c>
      <c r="T25" s="63">
        <f>_xlfn.STDEV.P(T2:T21)</f>
        <v>2.5372543802250243</v>
      </c>
      <c r="U25" s="63">
        <f>_xlfn.STDEV.P(U2:U21)</f>
        <v>1.977262605937568</v>
      </c>
      <c r="V25" s="63">
        <f>_xlfn.STDEV.P(V2:V21)</f>
        <v>1.9963527569967618</v>
      </c>
      <c r="W25" s="63">
        <f>_xlfn.STDEV.P(W2:W21)</f>
        <v>1.7703926533517771</v>
      </c>
      <c r="X25" s="63">
        <f>_xlfn.STDEV.P(X2:X21)</f>
        <v>3.5165874885972079</v>
      </c>
      <c r="Y25" s="63">
        <f>_xlfn.STDEV.P(Y2:Y21)</f>
        <v>2.5402045918937857</v>
      </c>
      <c r="Z25" s="63">
        <f>_xlfn.STDEV.P(Z2:Z21)</f>
        <v>2.233742700623766</v>
      </c>
    </row>
    <row r="26" spans="1:26" ht="14.7" thickBot="1" x14ac:dyDescent="0.6">
      <c r="C26" s="76"/>
      <c r="D26" s="82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</sheetData>
  <sortState ref="D2:D21">
    <sortCondition ref="D2:D2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opLeftCell="B1" zoomScale="59" workbookViewId="0">
      <selection activeCell="C22" sqref="C22:Z25"/>
    </sheetView>
  </sheetViews>
  <sheetFormatPr defaultRowHeight="14.4" x14ac:dyDescent="0.55000000000000004"/>
  <cols>
    <col min="1" max="1" width="18.15625" bestFit="1" customWidth="1"/>
    <col min="2" max="2" width="13.15625" bestFit="1" customWidth="1"/>
    <col min="3" max="3" width="31.41796875" bestFit="1" customWidth="1"/>
  </cols>
  <sheetData>
    <row r="1" spans="1:27" ht="14.7" thickBot="1" x14ac:dyDescent="0.6">
      <c r="A1" s="92" t="s">
        <v>3</v>
      </c>
      <c r="B1" s="93" t="s">
        <v>4</v>
      </c>
      <c r="C1" s="93" t="s">
        <v>5</v>
      </c>
      <c r="D1" s="93" t="s">
        <v>6</v>
      </c>
      <c r="E1" s="93" t="s">
        <v>7</v>
      </c>
      <c r="F1" s="93" t="s">
        <v>8</v>
      </c>
      <c r="G1" s="93" t="s">
        <v>9</v>
      </c>
      <c r="H1" s="93" t="s">
        <v>10</v>
      </c>
      <c r="I1" s="93" t="s">
        <v>11</v>
      </c>
      <c r="J1" s="93" t="s">
        <v>12</v>
      </c>
      <c r="K1" s="93" t="s">
        <v>13</v>
      </c>
      <c r="L1" s="93" t="s">
        <v>14</v>
      </c>
      <c r="M1" s="93" t="s">
        <v>15</v>
      </c>
      <c r="N1" s="93" t="s">
        <v>16</v>
      </c>
      <c r="O1" s="93" t="s">
        <v>17</v>
      </c>
      <c r="P1" s="93" t="s">
        <v>18</v>
      </c>
      <c r="Q1" s="93" t="s">
        <v>19</v>
      </c>
      <c r="R1" s="93" t="s">
        <v>20</v>
      </c>
      <c r="S1" s="93" t="s">
        <v>21</v>
      </c>
      <c r="T1" s="93" t="s">
        <v>22</v>
      </c>
      <c r="U1" s="93" t="s">
        <v>23</v>
      </c>
      <c r="V1" s="93" t="s">
        <v>24</v>
      </c>
      <c r="W1" s="93" t="s">
        <v>25</v>
      </c>
      <c r="X1" s="93" t="s">
        <v>26</v>
      </c>
      <c r="Y1" s="93" t="s">
        <v>27</v>
      </c>
      <c r="Z1" s="94" t="s">
        <v>28</v>
      </c>
      <c r="AA1" t="s">
        <v>84</v>
      </c>
    </row>
    <row r="2" spans="1:27" x14ac:dyDescent="0.55000000000000004">
      <c r="A2" s="73" t="s">
        <v>29</v>
      </c>
      <c r="B2" s="95" t="s">
        <v>30</v>
      </c>
      <c r="C2" s="96" t="s">
        <v>76</v>
      </c>
      <c r="D2" s="75">
        <v>-1.3362600899871353</v>
      </c>
      <c r="E2" s="85">
        <v>-1.6466436539031832</v>
      </c>
      <c r="F2" s="85">
        <v>-1.3909786153579944</v>
      </c>
      <c r="G2" s="85">
        <v>10.495703021549602</v>
      </c>
      <c r="H2" s="85">
        <v>18.363354249203283</v>
      </c>
      <c r="I2" s="85">
        <v>10.317511198240553</v>
      </c>
      <c r="J2" s="85">
        <v>13.741052485915233</v>
      </c>
      <c r="K2" s="85">
        <v>14.939925024583474</v>
      </c>
      <c r="L2" s="85">
        <v>23.171164981312401</v>
      </c>
      <c r="M2" s="85">
        <v>15.377649370892115</v>
      </c>
      <c r="N2" s="85">
        <v>20.915124272046981</v>
      </c>
      <c r="O2" s="85">
        <v>23.70347218395932</v>
      </c>
      <c r="P2" s="85">
        <v>22.314880673304899</v>
      </c>
      <c r="Q2" s="85">
        <v>23.948798416274641</v>
      </c>
      <c r="R2" s="85">
        <v>40.282971631550595</v>
      </c>
      <c r="S2" s="85">
        <v>26.579991602470713</v>
      </c>
      <c r="T2" s="85">
        <v>41.119379988227905</v>
      </c>
      <c r="U2" s="85">
        <v>26.00637928190794</v>
      </c>
      <c r="V2" s="85">
        <v>42.033668957503068</v>
      </c>
      <c r="W2" s="85">
        <v>49.195579059661185</v>
      </c>
      <c r="X2" s="85">
        <v>40.08308780119927</v>
      </c>
      <c r="Y2" s="85">
        <v>53.8404499043736</v>
      </c>
      <c r="Z2" s="88">
        <v>0.33397987722176481</v>
      </c>
    </row>
    <row r="3" spans="1:27" x14ac:dyDescent="0.55000000000000004">
      <c r="A3" s="74" t="s">
        <v>0</v>
      </c>
      <c r="B3" s="84" t="s">
        <v>1</v>
      </c>
      <c r="C3" s="97" t="s">
        <v>76</v>
      </c>
      <c r="D3" s="75">
        <v>-0.48938900532758112</v>
      </c>
      <c r="E3" s="85">
        <v>-1.0957677183367878</v>
      </c>
      <c r="F3" s="85">
        <v>0.6020990763853149</v>
      </c>
      <c r="G3" s="85">
        <v>2.9856197364388919</v>
      </c>
      <c r="H3" s="85">
        <v>3.2322627997321405</v>
      </c>
      <c r="I3" s="85">
        <v>3.8255091270901858</v>
      </c>
      <c r="J3" s="85">
        <v>5.1153887401327722</v>
      </c>
      <c r="K3" s="85">
        <v>4.985979934951132</v>
      </c>
      <c r="L3" s="85">
        <v>4.5698222493789444</v>
      </c>
      <c r="M3" s="85">
        <v>4.9491607571199552</v>
      </c>
      <c r="N3" s="85">
        <v>1.1518588177623457</v>
      </c>
      <c r="O3" s="85">
        <v>6.2020986066022203</v>
      </c>
      <c r="P3" s="85">
        <v>1.805164061227444</v>
      </c>
      <c r="Q3" s="85">
        <v>-0.16378151086239257</v>
      </c>
      <c r="R3" s="85">
        <v>1.4048930983807253</v>
      </c>
      <c r="S3" s="85">
        <v>-0.62292124889053468</v>
      </c>
      <c r="T3" s="85">
        <v>-0.65577189738338859</v>
      </c>
      <c r="U3" s="85">
        <v>3.6512328088130772</v>
      </c>
      <c r="V3" s="85">
        <v>1.878810434990811</v>
      </c>
      <c r="W3" s="85">
        <v>3.4637227360220209</v>
      </c>
      <c r="X3" s="85">
        <v>2.1138254414269113</v>
      </c>
      <c r="Y3" s="85">
        <v>3.0787741639563251</v>
      </c>
      <c r="Z3" s="88">
        <v>1.275522574092065</v>
      </c>
    </row>
    <row r="4" spans="1:27" x14ac:dyDescent="0.55000000000000004">
      <c r="A4" s="74" t="s">
        <v>31</v>
      </c>
      <c r="B4" s="84" t="s">
        <v>32</v>
      </c>
      <c r="C4" s="97" t="s">
        <v>76</v>
      </c>
      <c r="D4" s="75">
        <v>1.0217650054873673</v>
      </c>
      <c r="E4" s="85">
        <v>-1.0848798481520134</v>
      </c>
      <c r="F4" s="85">
        <v>1.2575234552433869</v>
      </c>
      <c r="G4" s="85">
        <v>14.091021523039359</v>
      </c>
      <c r="H4" s="85">
        <v>7.7520607632126683</v>
      </c>
      <c r="I4" s="85">
        <v>7.4312247525285073</v>
      </c>
      <c r="J4" s="85">
        <v>6.7742741191329685</v>
      </c>
      <c r="K4" s="85">
        <v>6.4390380870275692</v>
      </c>
      <c r="L4" s="85">
        <v>8.7785527236756025</v>
      </c>
      <c r="M4" s="85">
        <v>7.3134827459288516</v>
      </c>
      <c r="N4" s="85">
        <v>8.423338336678782</v>
      </c>
      <c r="O4" s="85">
        <v>8.3185922188201005</v>
      </c>
      <c r="P4" s="85">
        <v>7.9431269413537962</v>
      </c>
      <c r="Q4" s="85">
        <v>7.5045645329299333</v>
      </c>
      <c r="R4" s="85">
        <v>7.8467097435280948</v>
      </c>
      <c r="S4" s="85">
        <v>7.5661750120711559</v>
      </c>
      <c r="T4" s="85">
        <v>8.1036043587024551</v>
      </c>
      <c r="U4" s="85">
        <v>3.6713845127503504</v>
      </c>
      <c r="V4" s="85">
        <v>4.4935343313702134</v>
      </c>
      <c r="W4" s="85">
        <v>4.2242588689915834</v>
      </c>
      <c r="X4" s="85">
        <v>6.4724996075574666</v>
      </c>
      <c r="Y4" s="85">
        <v>11.384061165674609</v>
      </c>
      <c r="Z4" s="88">
        <v>2.2489744540687298</v>
      </c>
    </row>
    <row r="5" spans="1:27" x14ac:dyDescent="0.55000000000000004">
      <c r="A5" s="74" t="s">
        <v>37</v>
      </c>
      <c r="B5" s="84" t="s">
        <v>38</v>
      </c>
      <c r="C5" s="97" t="s">
        <v>76</v>
      </c>
      <c r="D5" s="75">
        <v>1.0372871007317457</v>
      </c>
      <c r="E5" s="85">
        <v>1.3049949100786762</v>
      </c>
      <c r="F5" s="85">
        <v>1.3781258240974381</v>
      </c>
      <c r="G5" s="85">
        <v>3.2497370069762326</v>
      </c>
      <c r="H5" s="85">
        <v>3.260873898289816</v>
      </c>
      <c r="I5" s="85">
        <v>3.1166385048767609</v>
      </c>
      <c r="J5" s="85">
        <v>2.5701726746608387</v>
      </c>
      <c r="K5" s="85">
        <v>3.3005456442315477</v>
      </c>
      <c r="L5" s="85">
        <v>3.996316455425756</v>
      </c>
      <c r="M5" s="85">
        <v>-2.3249220722794064</v>
      </c>
      <c r="N5" s="85">
        <v>2.8486377663442539</v>
      </c>
      <c r="O5" s="85">
        <v>3.2444551755021109</v>
      </c>
      <c r="P5" s="85">
        <v>1.2184437073871948</v>
      </c>
      <c r="Q5" s="85">
        <v>1.7407379057341643</v>
      </c>
      <c r="R5" s="85">
        <v>1.9411989774866782</v>
      </c>
      <c r="S5" s="85">
        <v>-0.86765131232338888</v>
      </c>
      <c r="T5" s="85">
        <v>0.71697814066065746</v>
      </c>
      <c r="U5" s="85">
        <v>2.5710146542528207</v>
      </c>
      <c r="V5" s="85">
        <v>1.6511181981861967</v>
      </c>
      <c r="W5" s="85">
        <v>1.5460707543806933</v>
      </c>
      <c r="X5" s="85">
        <v>1.0708102680749647</v>
      </c>
      <c r="Y5" s="85">
        <v>7.6648654225313066</v>
      </c>
      <c r="Z5" s="88">
        <v>2.9472169291140631</v>
      </c>
    </row>
    <row r="6" spans="1:27" x14ac:dyDescent="0.55000000000000004">
      <c r="A6" s="74" t="s">
        <v>33</v>
      </c>
      <c r="B6" s="84" t="s">
        <v>34</v>
      </c>
      <c r="C6" s="97" t="s">
        <v>76</v>
      </c>
      <c r="D6" s="75">
        <v>1.143887865389388</v>
      </c>
      <c r="E6" s="85">
        <v>1.5053486137881436</v>
      </c>
      <c r="F6" s="85">
        <v>1.5585313890788655</v>
      </c>
      <c r="G6" s="85">
        <v>2.6031777153805251</v>
      </c>
      <c r="H6" s="85">
        <v>6.9519926801486776</v>
      </c>
      <c r="I6" s="85">
        <v>3.9037442693861095</v>
      </c>
      <c r="J6" s="85">
        <v>3.9265493980896338</v>
      </c>
      <c r="K6" s="85">
        <v>7.7496864915605812</v>
      </c>
      <c r="L6" s="85">
        <v>7.7953460375503454</v>
      </c>
      <c r="M6" s="85">
        <v>-0.20953335918167681</v>
      </c>
      <c r="N6" s="85">
        <v>6.8813802514284106</v>
      </c>
      <c r="O6" s="85">
        <v>8.0756844670340371</v>
      </c>
      <c r="P6" s="85">
        <v>2.3312175751131861</v>
      </c>
      <c r="Q6" s="85">
        <v>2.1633700269888294</v>
      </c>
      <c r="R6" s="85">
        <v>1.0310636873394685</v>
      </c>
      <c r="S6" s="85">
        <v>-2.9440935731486206E-3</v>
      </c>
      <c r="T6" s="85">
        <v>1.4073460271193596</v>
      </c>
      <c r="U6" s="85">
        <v>4.2326819759298502</v>
      </c>
      <c r="V6" s="85">
        <v>3.4997476359946376</v>
      </c>
      <c r="W6" s="85">
        <v>1.2867004064390812</v>
      </c>
      <c r="X6" s="85">
        <v>0.49249391787307673</v>
      </c>
      <c r="Y6" s="85">
        <v>4.5523265795457917</v>
      </c>
      <c r="Z6" s="88">
        <v>2.9764005622887169</v>
      </c>
    </row>
    <row r="7" spans="1:27" x14ac:dyDescent="0.55000000000000004">
      <c r="A7" s="74" t="s">
        <v>63</v>
      </c>
      <c r="B7" s="84" t="s">
        <v>64</v>
      </c>
      <c r="C7" s="97" t="s">
        <v>76</v>
      </c>
      <c r="D7" s="75">
        <v>1.5532902530465975</v>
      </c>
      <c r="E7" s="85">
        <v>1.5736767667921043</v>
      </c>
      <c r="F7" s="85">
        <v>2.067425741384497</v>
      </c>
      <c r="G7" s="85">
        <v>2.1894102270240836</v>
      </c>
      <c r="H7" s="85">
        <v>2.7092681879024951</v>
      </c>
      <c r="I7" s="85">
        <v>2.5431049926316689</v>
      </c>
      <c r="J7" s="85">
        <v>2.8990740154742412</v>
      </c>
      <c r="K7" s="85">
        <v>2.9663454927419792</v>
      </c>
      <c r="L7" s="85">
        <v>3.2352352799719313</v>
      </c>
      <c r="M7" s="85">
        <v>1.6788389598229685</v>
      </c>
      <c r="N7" s="85">
        <v>0.92924586890991634</v>
      </c>
      <c r="O7" s="85">
        <v>1.6171065799673698</v>
      </c>
      <c r="P7" s="85">
        <v>1.6752701237628997</v>
      </c>
      <c r="Q7" s="85">
        <v>1.2799870542613405</v>
      </c>
      <c r="R7" s="85">
        <v>0.982645554501687</v>
      </c>
      <c r="S7" s="85">
        <v>1.1382487853323511</v>
      </c>
      <c r="T7" s="85">
        <v>0.87411542632634109</v>
      </c>
      <c r="U7" s="85">
        <v>1.4640640238877012</v>
      </c>
      <c r="V7" s="85">
        <v>2.0074924413161312</v>
      </c>
      <c r="W7" s="85">
        <v>2.2948508197805211</v>
      </c>
      <c r="X7" s="85">
        <v>1.9285720163688467</v>
      </c>
      <c r="Y7" s="85">
        <v>2.6858057801059516</v>
      </c>
      <c r="Z7" s="88">
        <v>4.759484162645137</v>
      </c>
    </row>
    <row r="8" spans="1:27" x14ac:dyDescent="0.55000000000000004">
      <c r="A8" s="74" t="s">
        <v>35</v>
      </c>
      <c r="B8" s="84" t="s">
        <v>36</v>
      </c>
      <c r="C8" s="97" t="s">
        <v>76</v>
      </c>
      <c r="D8" s="75">
        <v>1.7923979660140503</v>
      </c>
      <c r="E8" s="85">
        <v>2.008334185388378</v>
      </c>
      <c r="F8" s="85">
        <v>2.1227382023475201</v>
      </c>
      <c r="G8" s="85">
        <v>1.8593682441087651</v>
      </c>
      <c r="H8" s="85">
        <v>1.622675440061343</v>
      </c>
      <c r="I8" s="85">
        <v>1.9363414190136723</v>
      </c>
      <c r="J8" s="85">
        <v>2.1553273912771544</v>
      </c>
      <c r="K8" s="85">
        <v>2.5566370154461993</v>
      </c>
      <c r="L8" s="85">
        <v>2.3670738404367455</v>
      </c>
      <c r="M8" s="85">
        <v>6.6627476049603729E-2</v>
      </c>
      <c r="N8" s="85">
        <v>1.0696974762121556</v>
      </c>
      <c r="O8" s="85">
        <v>0.94796022538297109</v>
      </c>
      <c r="P8" s="85">
        <v>1.1618250317351908</v>
      </c>
      <c r="Q8" s="85">
        <v>0.7781005311440623</v>
      </c>
      <c r="R8" s="85">
        <v>0.57694423299177799</v>
      </c>
      <c r="S8" s="85">
        <v>1.1382487853323511</v>
      </c>
      <c r="T8" s="85">
        <v>0.52255934340044519</v>
      </c>
      <c r="U8" s="85">
        <v>0.52157726330568721</v>
      </c>
      <c r="V8" s="85">
        <v>0.99222456637779999</v>
      </c>
      <c r="W8" s="85">
        <v>1.2785921463294869</v>
      </c>
      <c r="X8" s="85">
        <v>2.8398761955120762</v>
      </c>
      <c r="Y8" s="85">
        <v>1.4239482698479264</v>
      </c>
      <c r="Z8" s="88">
        <v>5.1529022987684101</v>
      </c>
    </row>
    <row r="9" spans="1:27" x14ac:dyDescent="0.55000000000000004">
      <c r="A9" s="74" t="s">
        <v>53</v>
      </c>
      <c r="B9" s="84" t="s">
        <v>54</v>
      </c>
      <c r="C9" s="97" t="s">
        <v>76</v>
      </c>
      <c r="D9" s="75">
        <v>2.0627926126036442</v>
      </c>
      <c r="E9" s="85">
        <v>2.0470494662777412</v>
      </c>
      <c r="F9" s="85">
        <v>2.8403068937699487</v>
      </c>
      <c r="G9" s="85">
        <v>1.3212535237087479</v>
      </c>
      <c r="H9" s="85">
        <v>1.1155958666263928</v>
      </c>
      <c r="I9" s="85">
        <v>0.40520733185161362</v>
      </c>
      <c r="J9" s="85">
        <v>0.39728115489390348</v>
      </c>
      <c r="K9" s="85">
        <v>1.7702732069408142</v>
      </c>
      <c r="L9" s="85">
        <v>0.90933042230152239</v>
      </c>
      <c r="M9" s="85">
        <v>1.8418916377631831</v>
      </c>
      <c r="N9" s="85">
        <v>0.64527577112181689</v>
      </c>
      <c r="O9" s="85">
        <v>1.0694837453494301</v>
      </c>
      <c r="P9" s="85">
        <v>1.4964888377983385</v>
      </c>
      <c r="Q9" s="85">
        <v>1.9593916830244353</v>
      </c>
      <c r="R9" s="85">
        <v>1.8779398537491119</v>
      </c>
      <c r="S9" s="85">
        <v>1.8536788240880213</v>
      </c>
      <c r="T9" s="85">
        <v>1.3277522226954517</v>
      </c>
      <c r="U9" s="85">
        <v>1.50373898915133</v>
      </c>
      <c r="V9" s="85">
        <v>2.0074924413161312</v>
      </c>
      <c r="W9" s="85">
        <v>2.1303090514827261</v>
      </c>
      <c r="X9" s="85">
        <v>1.8725856480559173</v>
      </c>
      <c r="Y9" s="85">
        <v>3.0196380737526738</v>
      </c>
      <c r="Z9" s="88">
        <v>5.2683254237015262</v>
      </c>
    </row>
    <row r="10" spans="1:27" x14ac:dyDescent="0.55000000000000004">
      <c r="A10" s="74" t="s">
        <v>49</v>
      </c>
      <c r="B10" s="84" t="s">
        <v>50</v>
      </c>
      <c r="C10" s="97" t="s">
        <v>76</v>
      </c>
      <c r="D10" s="75">
        <v>2.2655476704801316</v>
      </c>
      <c r="E10" s="85">
        <v>2.2529523587807319</v>
      </c>
      <c r="F10" s="85">
        <v>3.0331396462807305</v>
      </c>
      <c r="G10" s="85">
        <v>3.8677980853482978</v>
      </c>
      <c r="H10" s="85">
        <v>5.7254132290125881</v>
      </c>
      <c r="I10" s="85">
        <v>5.6219032611495976</v>
      </c>
      <c r="J10" s="85">
        <v>8.4009382185682426</v>
      </c>
      <c r="K10" s="85">
        <v>6.9444182535363268</v>
      </c>
      <c r="L10" s="85">
        <v>9.1939696261733417</v>
      </c>
      <c r="M10" s="85">
        <v>7.0403654344363389</v>
      </c>
      <c r="N10" s="85">
        <v>10.526030856411623</v>
      </c>
      <c r="O10" s="85">
        <v>8.7335801438808431</v>
      </c>
      <c r="P10" s="85">
        <v>7.9343862706447794</v>
      </c>
      <c r="Q10" s="85">
        <v>6.1865039821300343</v>
      </c>
      <c r="R10" s="85">
        <v>3.3317569218128256</v>
      </c>
      <c r="S10" s="85">
        <v>2.27958810140629</v>
      </c>
      <c r="T10" s="85">
        <v>3.237974953258032</v>
      </c>
      <c r="U10" s="85">
        <v>3.9692579275171198</v>
      </c>
      <c r="V10" s="85">
        <v>3.884240279144052</v>
      </c>
      <c r="W10" s="85">
        <v>2.4055171623353004</v>
      </c>
      <c r="X10" s="85">
        <v>4.746548928999502</v>
      </c>
      <c r="Y10" s="85">
        <v>8.5385254830828643</v>
      </c>
      <c r="Z10" s="88">
        <v>6.4826975026874152</v>
      </c>
    </row>
    <row r="11" spans="1:27" x14ac:dyDescent="0.55000000000000004">
      <c r="A11" s="74" t="s">
        <v>51</v>
      </c>
      <c r="B11" s="84" t="s">
        <v>52</v>
      </c>
      <c r="C11" s="97" t="s">
        <v>76</v>
      </c>
      <c r="D11" s="75">
        <v>2.5507505804989137</v>
      </c>
      <c r="E11" s="85">
        <v>3.0335920258844453</v>
      </c>
      <c r="F11" s="85">
        <v>3.274341880430228</v>
      </c>
      <c r="G11" s="85">
        <v>5.4874291358028415</v>
      </c>
      <c r="H11" s="85">
        <v>8.550727031942813</v>
      </c>
      <c r="I11" s="85">
        <v>14.331787085591685</v>
      </c>
      <c r="J11" s="85">
        <v>14.087424416611881</v>
      </c>
      <c r="K11" s="85">
        <v>11.258578529907055</v>
      </c>
      <c r="L11" s="85">
        <v>18.149751250044901</v>
      </c>
      <c r="M11" s="85">
        <v>8.2747524319714927</v>
      </c>
      <c r="N11" s="85">
        <v>15.264293657636259</v>
      </c>
      <c r="O11" s="85">
        <v>7.4659430336751313</v>
      </c>
      <c r="P11" s="85">
        <v>3.7538787532365347</v>
      </c>
      <c r="Q11" s="85">
        <v>4.9659902913167713</v>
      </c>
      <c r="R11" s="85">
        <v>5.4431745493561152</v>
      </c>
      <c r="S11" s="85">
        <v>3.9802426601396093</v>
      </c>
      <c r="T11" s="85">
        <v>2.4389240868820679</v>
      </c>
      <c r="U11" s="85">
        <v>4.2926781219952517</v>
      </c>
      <c r="V11" s="85">
        <v>3.8183235694333462</v>
      </c>
      <c r="W11" s="85">
        <v>1.5984884998414373</v>
      </c>
      <c r="X11" s="85">
        <v>-0.40165143521899438</v>
      </c>
      <c r="Y11" s="85">
        <v>6.003421337024875</v>
      </c>
      <c r="Z11" s="88">
        <v>6.7199237193993326</v>
      </c>
    </row>
    <row r="12" spans="1:27" x14ac:dyDescent="0.55000000000000004">
      <c r="A12" s="74" t="s">
        <v>39</v>
      </c>
      <c r="B12" s="84" t="s">
        <v>40</v>
      </c>
      <c r="C12" s="97" t="s">
        <v>76</v>
      </c>
      <c r="D12" s="75">
        <v>3.3297547087570507</v>
      </c>
      <c r="E12" s="85">
        <v>3.2156160172717563</v>
      </c>
      <c r="F12" s="85">
        <v>3.274341880430228</v>
      </c>
      <c r="G12" s="85">
        <v>3.147807928565399</v>
      </c>
      <c r="H12" s="85">
        <v>2.6701836810610899</v>
      </c>
      <c r="I12" s="85">
        <v>2.0105579008358205</v>
      </c>
      <c r="J12" s="85">
        <v>2.1248539146475451</v>
      </c>
      <c r="K12" s="85">
        <v>2.4789947658615148</v>
      </c>
      <c r="L12" s="85">
        <v>2.4007034444019695</v>
      </c>
      <c r="M12" s="85">
        <v>1.6788389598229685</v>
      </c>
      <c r="N12" s="85">
        <v>0.43636053754167392</v>
      </c>
      <c r="O12" s="85">
        <v>1.6071769834934457</v>
      </c>
      <c r="P12" s="85">
        <v>1.5473014403773391</v>
      </c>
      <c r="Q12" s="85">
        <v>1.147610158919548</v>
      </c>
      <c r="R12" s="85">
        <v>0.91324126198146871</v>
      </c>
      <c r="S12" s="85">
        <v>0.93186357475971704</v>
      </c>
      <c r="T12" s="85">
        <v>1.134350020372537</v>
      </c>
      <c r="U12" s="85">
        <v>0.72634322095781556</v>
      </c>
      <c r="V12" s="85">
        <v>1.0681320468694651</v>
      </c>
      <c r="W12" s="85">
        <v>0.93811413501386198</v>
      </c>
      <c r="X12" s="85">
        <v>1.5791714570605677</v>
      </c>
      <c r="Y12" s="85">
        <v>1.2778607924374086</v>
      </c>
      <c r="Z12" s="88">
        <v>7.0407230918263082</v>
      </c>
    </row>
    <row r="13" spans="1:27" x14ac:dyDescent="0.55000000000000004">
      <c r="A13" s="74" t="s">
        <v>43</v>
      </c>
      <c r="B13" s="84" t="s">
        <v>44</v>
      </c>
      <c r="C13" s="97" t="s">
        <v>76</v>
      </c>
      <c r="D13" s="75">
        <v>3.6449701598962889</v>
      </c>
      <c r="E13" s="85">
        <v>3.4784991471607611</v>
      </c>
      <c r="F13" s="85">
        <v>3.7156837776141316</v>
      </c>
      <c r="G13" s="85">
        <v>-1.6077037075122433</v>
      </c>
      <c r="H13" s="85">
        <v>-1.1247663998524331</v>
      </c>
      <c r="I13" s="85">
        <v>-1.1940176805642722</v>
      </c>
      <c r="J13" s="85">
        <v>-0.86201838922802665</v>
      </c>
      <c r="K13" s="85">
        <v>-0.70524354749979068</v>
      </c>
      <c r="L13" s="85">
        <v>-0.91153028828516369</v>
      </c>
      <c r="M13" s="85">
        <v>-0.56956492462434483</v>
      </c>
      <c r="N13" s="85">
        <v>-1.8807419499391642</v>
      </c>
      <c r="O13" s="85">
        <v>-1.6220802500926652</v>
      </c>
      <c r="P13" s="85">
        <v>-0.75609311955516034</v>
      </c>
      <c r="Q13" s="85">
        <v>-0.35437505433027638</v>
      </c>
      <c r="R13" s="85">
        <v>1.6862947862667426</v>
      </c>
      <c r="S13" s="85">
        <v>2.1112989932749997</v>
      </c>
      <c r="T13" s="85">
        <v>0.41994437605727342</v>
      </c>
      <c r="U13" s="85">
        <v>-7.4349503729067123E-2</v>
      </c>
      <c r="V13" s="85">
        <v>-2.3750638760589027E-4</v>
      </c>
      <c r="W13" s="85">
        <v>0.63480316569606998</v>
      </c>
      <c r="X13" s="85">
        <v>0.94144970079430834</v>
      </c>
      <c r="Y13" s="85">
        <v>-0.19006062486126041</v>
      </c>
      <c r="Z13" s="88">
        <v>7.1230757225928727</v>
      </c>
    </row>
    <row r="14" spans="1:27" x14ac:dyDescent="0.55000000000000004">
      <c r="A14" s="74" t="s">
        <v>65</v>
      </c>
      <c r="B14" s="84" t="s">
        <v>66</v>
      </c>
      <c r="C14" s="97" t="s">
        <v>76</v>
      </c>
      <c r="D14" s="75">
        <v>4.3741990307941734</v>
      </c>
      <c r="E14" s="85">
        <v>3.6603047451352353</v>
      </c>
      <c r="F14" s="85">
        <v>5.5023241130699034</v>
      </c>
      <c r="G14" s="85">
        <v>3.4499934626881554</v>
      </c>
      <c r="H14" s="85">
        <v>3.1278802877273506</v>
      </c>
      <c r="I14" s="85">
        <v>1.0414014916489975</v>
      </c>
      <c r="J14" s="85">
        <v>-0.22319561244255226</v>
      </c>
      <c r="K14" s="85">
        <v>2.419195944278357</v>
      </c>
      <c r="L14" s="85">
        <v>2.8263023010858035</v>
      </c>
      <c r="M14" s="85">
        <v>3.6086441257284321</v>
      </c>
      <c r="N14" s="85">
        <v>2.7374968372649136</v>
      </c>
      <c r="O14" s="85">
        <v>1.2818638059200964</v>
      </c>
      <c r="P14" s="85">
        <v>1.2518081696316017</v>
      </c>
      <c r="Q14" s="85">
        <v>1.0185438050527722</v>
      </c>
      <c r="R14" s="85">
        <v>0.90689675061581454</v>
      </c>
      <c r="S14" s="85">
        <v>3.1855959666495295</v>
      </c>
      <c r="T14" s="85">
        <v>1.986038505453493</v>
      </c>
      <c r="U14" s="85">
        <v>2.2227813815284065</v>
      </c>
      <c r="V14" s="85">
        <v>0.48294898310261658</v>
      </c>
      <c r="W14" s="85">
        <v>-0.8393253081496681</v>
      </c>
      <c r="X14" s="85">
        <v>1.5637468567534256</v>
      </c>
      <c r="Y14" s="85">
        <v>2.762931941447718</v>
      </c>
      <c r="Z14" s="88">
        <v>7.6538199267622673</v>
      </c>
    </row>
    <row r="15" spans="1:27" x14ac:dyDescent="0.55000000000000004">
      <c r="A15" s="74" t="s">
        <v>45</v>
      </c>
      <c r="B15" s="84" t="s">
        <v>46</v>
      </c>
      <c r="C15" s="97" t="s">
        <v>76</v>
      </c>
      <c r="D15" s="75">
        <v>5.6060651408573534</v>
      </c>
      <c r="E15" s="85">
        <v>4.6307182397206361</v>
      </c>
      <c r="F15" s="85">
        <v>5.8960516951723747</v>
      </c>
      <c r="G15" s="85">
        <v>4.2796672534731783</v>
      </c>
      <c r="H15" s="85">
        <v>8.1174431220266712</v>
      </c>
      <c r="I15" s="85">
        <v>5.8849827349562958</v>
      </c>
      <c r="J15" s="85">
        <v>6.1071543555611925</v>
      </c>
      <c r="K15" s="85">
        <v>6.1277921512069184</v>
      </c>
      <c r="L15" s="85">
        <v>6.3103816591627719</v>
      </c>
      <c r="M15" s="85">
        <v>5.2434824266308198</v>
      </c>
      <c r="N15" s="85">
        <v>4.3729644282711604</v>
      </c>
      <c r="O15" s="85">
        <v>5.6696336239350273</v>
      </c>
      <c r="P15" s="85">
        <v>4.5422149550179256</v>
      </c>
      <c r="Q15" s="85">
        <v>1.7038827939084769</v>
      </c>
      <c r="R15" s="85">
        <v>4.3683688954601791</v>
      </c>
      <c r="S15" s="85">
        <v>3.2254289222026387</v>
      </c>
      <c r="T15" s="85">
        <v>6.0775878390364539</v>
      </c>
      <c r="U15" s="85">
        <v>6.5675949483864855</v>
      </c>
      <c r="V15" s="85">
        <v>5.2044999651897683</v>
      </c>
      <c r="W15" s="85">
        <v>4.2875805355003109</v>
      </c>
      <c r="X15" s="85">
        <v>4.8413326590668362</v>
      </c>
      <c r="Y15" s="85">
        <v>4.4070443842215639</v>
      </c>
      <c r="Z15" s="88">
        <v>8.2258694985970209</v>
      </c>
    </row>
    <row r="16" spans="1:27" x14ac:dyDescent="0.55000000000000004">
      <c r="A16" s="74" t="s">
        <v>47</v>
      </c>
      <c r="B16" s="84" t="s">
        <v>48</v>
      </c>
      <c r="C16" s="97" t="s">
        <v>76</v>
      </c>
      <c r="D16" s="75">
        <v>9.1821914156735573</v>
      </c>
      <c r="E16" s="85">
        <v>6.4730091787719175</v>
      </c>
      <c r="F16" s="85">
        <v>5.9568466681328687</v>
      </c>
      <c r="G16" s="85">
        <v>13.657136811327476</v>
      </c>
      <c r="H16" s="85">
        <v>20.255149577511105</v>
      </c>
      <c r="I16" s="85">
        <v>19.279432134411039</v>
      </c>
      <c r="J16" s="85">
        <v>15.120406631676445</v>
      </c>
      <c r="K16" s="85">
        <v>13.84123923982375</v>
      </c>
      <c r="L16" s="85">
        <v>18.013518335084228</v>
      </c>
      <c r="M16" s="85">
        <v>1.9706126030591236</v>
      </c>
      <c r="N16" s="85">
        <v>14.191109568820707</v>
      </c>
      <c r="O16" s="85">
        <v>24.460086062189816</v>
      </c>
      <c r="P16" s="85">
        <v>8.9078684208783443</v>
      </c>
      <c r="Q16" s="85">
        <v>5.3201388723791467</v>
      </c>
      <c r="R16" s="85">
        <v>7.4900711169660923</v>
      </c>
      <c r="S16" s="85">
        <v>7.2497359067888851</v>
      </c>
      <c r="T16" s="85">
        <v>2.844222698026428</v>
      </c>
      <c r="U16" s="85">
        <v>5.349815087676177</v>
      </c>
      <c r="V16" s="85">
        <v>9.9979767114830764</v>
      </c>
      <c r="W16" s="85">
        <v>3.2631328188168425</v>
      </c>
      <c r="X16" s="85">
        <v>0.89824602719524194</v>
      </c>
      <c r="Y16" s="85">
        <v>18.990516788706529</v>
      </c>
      <c r="Z16" s="88">
        <v>8.2832060248210837</v>
      </c>
    </row>
    <row r="17" spans="1:26" x14ac:dyDescent="0.55000000000000004">
      <c r="A17" s="74" t="s">
        <v>57</v>
      </c>
      <c r="B17" s="84" t="s">
        <v>58</v>
      </c>
      <c r="C17" s="97" t="s">
        <v>76</v>
      </c>
      <c r="D17" s="75">
        <v>10.697964531004686</v>
      </c>
      <c r="E17" s="85">
        <v>7.8004749630590879</v>
      </c>
      <c r="F17" s="85">
        <v>9.7981122375597494</v>
      </c>
      <c r="G17" s="85">
        <v>6.3957635871328904</v>
      </c>
      <c r="H17" s="85">
        <v>6.0421715904549984</v>
      </c>
      <c r="I17" s="85">
        <v>5.597009780640434</v>
      </c>
      <c r="J17" s="85">
        <v>6.0646370145030772</v>
      </c>
      <c r="K17" s="85">
        <v>8.2457647661167357</v>
      </c>
      <c r="L17" s="85">
        <v>7.8503317285133107</v>
      </c>
      <c r="M17" s="85">
        <v>8.6630418315964022</v>
      </c>
      <c r="N17" s="85">
        <v>6.1284324316044376</v>
      </c>
      <c r="O17" s="85">
        <v>5.5390564315126198</v>
      </c>
      <c r="P17" s="85">
        <v>4.6852063881398465</v>
      </c>
      <c r="Q17" s="85">
        <v>5.8441114006734693</v>
      </c>
      <c r="R17" s="85">
        <v>5.3665461846838127</v>
      </c>
      <c r="S17" s="85">
        <v>5.545528123398725</v>
      </c>
      <c r="T17" s="85">
        <v>6.9521719608847974</v>
      </c>
      <c r="U17" s="85">
        <v>5.4733219754919276</v>
      </c>
      <c r="V17" s="85">
        <v>3.9932950855769604</v>
      </c>
      <c r="W17" s="85">
        <v>4.6135246893716158</v>
      </c>
      <c r="X17" s="85">
        <v>5.2595678971009079</v>
      </c>
      <c r="Y17" s="85">
        <v>6.5001283767391413</v>
      </c>
      <c r="Z17" s="88">
        <v>9.5678443611082855</v>
      </c>
    </row>
    <row r="18" spans="1:26" x14ac:dyDescent="0.55000000000000004">
      <c r="A18" s="74" t="s">
        <v>59</v>
      </c>
      <c r="B18" s="84" t="s">
        <v>60</v>
      </c>
      <c r="C18" s="97" t="s">
        <v>76</v>
      </c>
      <c r="D18" s="75">
        <v>10.947920712303343</v>
      </c>
      <c r="E18" s="85">
        <v>8.2250943212563072</v>
      </c>
      <c r="F18" s="85">
        <v>12.537957905723005</v>
      </c>
      <c r="G18" s="85">
        <v>23.289280989382206</v>
      </c>
      <c r="H18" s="85">
        <v>12.427511075423951</v>
      </c>
      <c r="I18" s="85">
        <v>7.0854161291639599</v>
      </c>
      <c r="J18" s="85">
        <v>9.3762063635270749</v>
      </c>
      <c r="K18" s="85">
        <v>6.1997582025373958</v>
      </c>
      <c r="L18" s="85">
        <v>12.04615359392804</v>
      </c>
      <c r="M18" s="85">
        <v>5.4464491031988871</v>
      </c>
      <c r="N18" s="85">
        <v>7.0092836025974066</v>
      </c>
      <c r="O18" s="85">
        <v>8.200847093306507</v>
      </c>
      <c r="P18" s="85">
        <v>7.4226732866055301</v>
      </c>
      <c r="Q18" s="85">
        <v>6.280109697081798</v>
      </c>
      <c r="R18" s="85">
        <v>7.3895186377030342</v>
      </c>
      <c r="S18" s="85">
        <v>7.8449169301026274</v>
      </c>
      <c r="T18" s="85">
        <v>8.1304780781445061</v>
      </c>
      <c r="U18" s="85">
        <v>10.982421668328456</v>
      </c>
      <c r="V18" s="85">
        <v>16.512279461502672</v>
      </c>
      <c r="W18" s="85">
        <v>13.867735252289393</v>
      </c>
      <c r="X18" s="85">
        <v>14.789375741225115</v>
      </c>
      <c r="Y18" s="85">
        <v>28.9730164131403</v>
      </c>
      <c r="Z18" s="88">
        <v>15.804709897875895</v>
      </c>
    </row>
    <row r="19" spans="1:26" x14ac:dyDescent="0.55000000000000004">
      <c r="A19" s="74" t="s">
        <v>41</v>
      </c>
      <c r="B19" s="84" t="s">
        <v>42</v>
      </c>
      <c r="C19" s="97" t="s">
        <v>76</v>
      </c>
      <c r="D19" s="75">
        <v>20.447456851274708</v>
      </c>
      <c r="E19" s="85">
        <v>14.295715435569818</v>
      </c>
      <c r="F19" s="85">
        <v>15.661906305459311</v>
      </c>
      <c r="G19" s="85">
        <v>2.392776139498821</v>
      </c>
      <c r="H19" s="85">
        <v>2.6200963806751929</v>
      </c>
      <c r="I19" s="85">
        <v>2.935328139921296</v>
      </c>
      <c r="J19" s="85">
        <v>2.7868336449573547</v>
      </c>
      <c r="K19" s="85">
        <v>2.2525153793569785</v>
      </c>
      <c r="L19" s="85">
        <v>3.4032800753165162</v>
      </c>
      <c r="M19" s="85">
        <v>1.8911119347340417</v>
      </c>
      <c r="N19" s="85">
        <v>1.5837413266822438</v>
      </c>
      <c r="O19" s="85">
        <v>2.1891847208401742</v>
      </c>
      <c r="P19" s="85">
        <v>1.538803627712241</v>
      </c>
      <c r="Q19" s="85">
        <v>2.1170639750210256</v>
      </c>
      <c r="R19" s="85">
        <v>1.3177782136091878</v>
      </c>
      <c r="S19" s="85">
        <v>0.66099052141352388</v>
      </c>
      <c r="T19" s="85">
        <v>1.9647982740778502</v>
      </c>
      <c r="U19" s="85">
        <v>1.8565410466793537</v>
      </c>
      <c r="V19" s="85">
        <v>1.9220523935836553</v>
      </c>
      <c r="W19" s="85">
        <v>2.1157327429386754</v>
      </c>
      <c r="X19" s="85">
        <v>5.0836234290607649</v>
      </c>
      <c r="Y19" s="85">
        <v>-0.12042708549165582</v>
      </c>
      <c r="Z19" s="88">
        <v>16.68691133168825</v>
      </c>
    </row>
    <row r="20" spans="1:26" x14ac:dyDescent="0.55000000000000004">
      <c r="A20" s="74" t="s">
        <v>55</v>
      </c>
      <c r="B20" s="84" t="s">
        <v>56</v>
      </c>
      <c r="C20" s="97" t="s">
        <v>76</v>
      </c>
      <c r="D20" s="75">
        <v>37.697928212309705</v>
      </c>
      <c r="E20" s="85">
        <v>16.479619357003656</v>
      </c>
      <c r="F20" s="85">
        <v>30.555204053902969</v>
      </c>
      <c r="G20" s="85">
        <v>1.9735993168761752</v>
      </c>
      <c r="H20" s="85">
        <v>2.6844080415182532</v>
      </c>
      <c r="I20" s="85">
        <v>3.1358240667201329</v>
      </c>
      <c r="J20" s="85">
        <v>3.0855829316345051</v>
      </c>
      <c r="K20" s="85">
        <v>2.702526568861515</v>
      </c>
      <c r="L20" s="85">
        <v>1.9179329778406213</v>
      </c>
      <c r="M20" s="85">
        <v>0.6409547326727818</v>
      </c>
      <c r="N20" s="85">
        <v>1.2017916253887222</v>
      </c>
      <c r="O20" s="85">
        <v>2.0777138203681034</v>
      </c>
      <c r="P20" s="85">
        <v>1.8705955293703909</v>
      </c>
      <c r="Q20" s="85">
        <v>1.7509497788179118</v>
      </c>
      <c r="R20" s="85">
        <v>1.8698913722099348</v>
      </c>
      <c r="S20" s="85">
        <v>1.000541632911407</v>
      </c>
      <c r="T20" s="85">
        <v>1.002235480218161</v>
      </c>
      <c r="U20" s="85">
        <v>1.8996101399616663</v>
      </c>
      <c r="V20" s="85">
        <v>2.4040585926438069</v>
      </c>
      <c r="W20" s="85">
        <v>1.7939305008955131</v>
      </c>
      <c r="X20" s="85">
        <v>1.3049120712056208</v>
      </c>
      <c r="Y20" s="85">
        <v>4.4927922357685048</v>
      </c>
      <c r="Z20" s="88">
        <v>69.471239551214381</v>
      </c>
    </row>
    <row r="21" spans="1:26" ht="14.7" thickBot="1" x14ac:dyDescent="0.6">
      <c r="A21" s="74" t="s">
        <v>61</v>
      </c>
      <c r="B21" s="84" t="s">
        <v>62</v>
      </c>
      <c r="C21" s="97" t="s">
        <v>76</v>
      </c>
      <c r="D21" s="89">
        <v>49.360776243032376</v>
      </c>
      <c r="E21" s="90">
        <v>52.979760680204322</v>
      </c>
      <c r="F21" s="90">
        <v>37.574820831712117</v>
      </c>
      <c r="G21" s="90">
        <v>2.3165586572227141</v>
      </c>
      <c r="H21" s="90">
        <v>11.056483817416549</v>
      </c>
      <c r="I21" s="90">
        <v>20.149612785880905</v>
      </c>
      <c r="J21" s="90">
        <v>11.572361457550954</v>
      </c>
      <c r="K21" s="90">
        <v>8.4353994954660152</v>
      </c>
      <c r="L21" s="90">
        <v>17.689796540835843</v>
      </c>
      <c r="M21" s="90">
        <v>-15.713230426343557</v>
      </c>
      <c r="N21" s="90">
        <v>17.191305701145353</v>
      </c>
      <c r="O21" s="90">
        <v>15.412067051470117</v>
      </c>
      <c r="P21" s="90">
        <v>3.9940357144653689</v>
      </c>
      <c r="Q21" s="90">
        <v>-1.1966929696138493</v>
      </c>
      <c r="R21" s="90">
        <v>-2.2470047790309309</v>
      </c>
      <c r="S21" s="90">
        <v>-16.58148311497753</v>
      </c>
      <c r="T21" s="90">
        <v>-2.8169825979794467</v>
      </c>
      <c r="U21" s="90">
        <v>7.4314577966046187</v>
      </c>
      <c r="V21" s="90">
        <v>15.221507175087538</v>
      </c>
      <c r="W21" s="90">
        <v>-1.7648209935195069</v>
      </c>
      <c r="X21" s="90">
        <v>-8.4631782541961513</v>
      </c>
      <c r="Y21" s="90">
        <v>14.11415625107422</v>
      </c>
      <c r="Z21" s="91">
        <v>96.036114963991253</v>
      </c>
    </row>
    <row r="22" spans="1:26" x14ac:dyDescent="0.55000000000000004">
      <c r="A22" s="52"/>
      <c r="B22" s="53"/>
      <c r="C22" s="56" t="s">
        <v>80</v>
      </c>
      <c r="D22" s="101">
        <f>AVERAGE(D2:D21)</f>
        <v>8.3445648482420189</v>
      </c>
      <c r="E22" s="60">
        <f>AVERAGE(E2:E21)</f>
        <v>6.556873459587587</v>
      </c>
      <c r="F22" s="60">
        <f>AVERAGE(F2:F21)</f>
        <v>7.3608251481218305</v>
      </c>
      <c r="G22" s="60">
        <f>AVERAGE(G2:G21)</f>
        <v>5.3722699329016059</v>
      </c>
      <c r="H22" s="60">
        <f t="shared" ref="H22:Y22" si="0">AVERAGE(H2:H21)</f>
        <v>6.3580392660047469</v>
      </c>
      <c r="I22" s="60">
        <f t="shared" si="0"/>
        <v>5.9679259712987482</v>
      </c>
      <c r="J22" s="60">
        <f t="shared" si="0"/>
        <v>5.7610152463572222</v>
      </c>
      <c r="K22" s="60">
        <f t="shared" si="0"/>
        <v>5.7454685323468038</v>
      </c>
      <c r="L22" s="60">
        <f t="shared" si="0"/>
        <v>7.6856716617077723</v>
      </c>
      <c r="M22" s="60">
        <f t="shared" si="0"/>
        <v>2.8434326874499489</v>
      </c>
      <c r="N22" s="60">
        <f t="shared" si="0"/>
        <v>6.0813313591964997</v>
      </c>
      <c r="O22" s="60">
        <f t="shared" si="0"/>
        <v>6.7096962861558378</v>
      </c>
      <c r="P22" s="60">
        <f>AVERAGE(P2:P21)</f>
        <v>4.3319548194103845</v>
      </c>
      <c r="Q22" s="60">
        <f t="shared" si="0"/>
        <v>3.699750268542592</v>
      </c>
      <c r="R22" s="60">
        <f t="shared" si="0"/>
        <v>4.6890450345581209</v>
      </c>
      <c r="S22" s="60">
        <f t="shared" si="0"/>
        <v>2.9108537286288971</v>
      </c>
      <c r="T22" s="60">
        <f t="shared" si="0"/>
        <v>4.3393853642090692</v>
      </c>
      <c r="U22" s="60">
        <f t="shared" si="0"/>
        <v>4.7159773660698487</v>
      </c>
      <c r="V22" s="60">
        <f t="shared" si="0"/>
        <v>6.153658288214217</v>
      </c>
      <c r="W22" s="60">
        <f t="shared" si="0"/>
        <v>4.9167248522058573</v>
      </c>
      <c r="X22" s="60">
        <f t="shared" si="0"/>
        <v>4.4508447987557833</v>
      </c>
      <c r="Y22" s="60">
        <f t="shared" si="0"/>
        <v>9.1699887826539221</v>
      </c>
      <c r="Z22" s="60">
        <f>AVERAGE(Z2:Z21)</f>
        <v>14.202947093723239</v>
      </c>
    </row>
    <row r="23" spans="1:26" x14ac:dyDescent="0.55000000000000004">
      <c r="A23" s="52"/>
      <c r="B23" s="53"/>
      <c r="C23" s="57" t="s">
        <v>81</v>
      </c>
      <c r="D23" s="102">
        <f>MEDIAN(D2:D21)</f>
        <v>2.9402526446279822</v>
      </c>
      <c r="E23" s="61">
        <f>MEDIAN(E2:E21)</f>
        <v>3.1246040215781008</v>
      </c>
      <c r="F23" s="61">
        <f t="shared" ref="F23:Z23" si="1">MEDIAN(F2:F21)</f>
        <v>3.274341880430228</v>
      </c>
      <c r="G23" s="61">
        <f t="shared" si="1"/>
        <v>3.1987724677708158</v>
      </c>
      <c r="H23" s="61">
        <f t="shared" si="1"/>
        <v>4.493143563651202</v>
      </c>
      <c r="I23" s="61">
        <f>MEDIAN(I2:I21)</f>
        <v>3.8646266982381476</v>
      </c>
      <c r="J23" s="61">
        <f t="shared" si="1"/>
        <v>4.520969069111203</v>
      </c>
      <c r="K23" s="61">
        <f t="shared" si="1"/>
        <v>5.5568860430790252</v>
      </c>
      <c r="L23" s="61">
        <f t="shared" si="1"/>
        <v>5.4401019542708582</v>
      </c>
      <c r="M23" s="61">
        <f t="shared" si="1"/>
        <v>1.9308622688965826</v>
      </c>
      <c r="N23" s="61">
        <f t="shared" si="1"/>
        <v>3.6108010973077072</v>
      </c>
      <c r="O23" s="61">
        <f t="shared" si="1"/>
        <v>5.6043450277238236</v>
      </c>
      <c r="P23" s="61">
        <f t="shared" si="1"/>
        <v>2.1009065522417885</v>
      </c>
      <c r="Q23" s="61">
        <f t="shared" si="1"/>
        <v>1.8551707309211736</v>
      </c>
      <c r="R23" s="61">
        <f t="shared" si="1"/>
        <v>1.8739156129795234</v>
      </c>
      <c r="S23" s="61">
        <f t="shared" si="1"/>
        <v>1.9824889086815105</v>
      </c>
      <c r="T23" s="61">
        <f t="shared" si="1"/>
        <v>1.6860721505986049</v>
      </c>
      <c r="U23" s="61">
        <f t="shared" si="1"/>
        <v>3.6613086607817138</v>
      </c>
      <c r="V23" s="61">
        <f t="shared" si="1"/>
        <v>2.9519031143192223</v>
      </c>
      <c r="W23" s="61">
        <f t="shared" si="1"/>
        <v>2.1230208972107008</v>
      </c>
      <c r="X23" s="61">
        <f>MEDIAN(X2:X21)</f>
        <v>1.900578832212382</v>
      </c>
      <c r="Y23" s="61">
        <f t="shared" si="1"/>
        <v>4.5225594076571483</v>
      </c>
      <c r="Z23" s="61">
        <f t="shared" si="1"/>
        <v>6.8803234056128204</v>
      </c>
    </row>
    <row r="24" spans="1:26" x14ac:dyDescent="0.55000000000000004">
      <c r="A24" s="52"/>
      <c r="B24" s="53"/>
      <c r="C24" s="58" t="s">
        <v>83</v>
      </c>
      <c r="D24" s="62">
        <f>_xlfn.VAR.P(D2:D21)</f>
        <v>165.1803531774124</v>
      </c>
      <c r="E24" s="62">
        <f>_xlfn.VAR.P(E2:E21)</f>
        <v>134.23332436290644</v>
      </c>
      <c r="F24" s="62">
        <f>_xlfn.VAR.P(F2:F21)</f>
        <v>96.518893996701792</v>
      </c>
      <c r="G24" s="62">
        <f>_xlfn.VAR.P(G2:G21)</f>
        <v>32.016128452657192</v>
      </c>
      <c r="H24" s="62">
        <f>_xlfn.VAR.P(H2:H21)</f>
        <v>29.847413689426546</v>
      </c>
      <c r="I24" s="62">
        <f>_xlfn.VAR.P(I2:I21)</f>
        <v>32.759678006791646</v>
      </c>
      <c r="J24" s="62">
        <f>_xlfn.VAR.P(J2:J21)</f>
        <v>22.424157821727732</v>
      </c>
      <c r="K24" s="62">
        <f>_xlfn.VAR.P(K2:K21)</f>
        <v>16.265187428470377</v>
      </c>
      <c r="L24" s="62">
        <f>_xlfn.VAR.P(L2:L21)</f>
        <v>43.742628496521213</v>
      </c>
      <c r="M24" s="62">
        <f>_xlfn.VAR.P(M2:M21)</f>
        <v>34.280077796528509</v>
      </c>
      <c r="N24" s="62">
        <f>_xlfn.VAR.P(N2:N21)</f>
        <v>39.483571422077823</v>
      </c>
      <c r="O24" s="62">
        <f>_xlfn.VAR.P(O2:O21)</f>
        <v>48.170481674783758</v>
      </c>
      <c r="P24" s="62">
        <f>_xlfn.VAR.P(P2:P21)</f>
        <v>24.136576548718232</v>
      </c>
      <c r="Q24" s="62">
        <f>_xlfn.VAR.P(Q2:Q21)</f>
        <v>27.4557430831915</v>
      </c>
      <c r="R24" s="62">
        <f>_xlfn.VAR.P(R2:R21)</f>
        <v>73.513773510450307</v>
      </c>
      <c r="S24" s="62">
        <f>_xlfn.VAR.P(S2:S21)</f>
        <v>53.480192119337481</v>
      </c>
      <c r="T24" s="62">
        <f>_xlfn.VAR.P(T2:T21)</f>
        <v>78.984796301910379</v>
      </c>
      <c r="U24" s="62">
        <f>_xlfn.VAR.P(U2:U21)</f>
        <v>30.589919714462045</v>
      </c>
      <c r="V24" s="62">
        <f>_xlfn.VAR.P(V2:V21)</f>
        <v>87.253857452999654</v>
      </c>
      <c r="W24" s="62">
        <f>_xlfn.VAR.P(W2:W21)</f>
        <v>112.29083581489675</v>
      </c>
      <c r="X24" s="62">
        <f>_xlfn.VAR.P(X2:X21)</f>
        <v>83.590850397873297</v>
      </c>
      <c r="Y24" s="62">
        <f>_xlfn.VAR.P(Y2:Y21)</f>
        <v>152.66688159808658</v>
      </c>
      <c r="Z24" s="62">
        <f>_xlfn.VAR.P(Z2:Z21)</f>
        <v>555.90758950567829</v>
      </c>
    </row>
    <row r="25" spans="1:26" ht="14.7" thickBot="1" x14ac:dyDescent="0.6">
      <c r="A25" s="52"/>
      <c r="B25" s="53"/>
      <c r="C25" s="59" t="s">
        <v>82</v>
      </c>
      <c r="D25" s="63">
        <f>_xlfn.STDEV.P(D2:D21)</f>
        <v>12.852250899255445</v>
      </c>
      <c r="E25" s="63">
        <f>_xlfn.STDEV.P(E2:E21)</f>
        <v>11.585910597053061</v>
      </c>
      <c r="F25" s="63">
        <f>_xlfn.STDEV.P(F2:F21)</f>
        <v>9.824402984237862</v>
      </c>
      <c r="G25" s="63">
        <f>_xlfn.STDEV.P(G2:G21)</f>
        <v>5.6582796371916073</v>
      </c>
      <c r="H25" s="63">
        <f>_xlfn.STDEV.P(H2:H21)</f>
        <v>5.4632786574937349</v>
      </c>
      <c r="I25" s="63">
        <f>_xlfn.STDEV.P(I2:I21)</f>
        <v>5.7236070800494021</v>
      </c>
      <c r="J25" s="63">
        <f>_xlfn.STDEV.P(J2:J21)</f>
        <v>4.7354152744746401</v>
      </c>
      <c r="K25" s="63">
        <f>_xlfn.STDEV.P(K2:K21)</f>
        <v>4.0330122028665345</v>
      </c>
      <c r="L25" s="63">
        <f>_xlfn.STDEV.P(L2:L21)</f>
        <v>6.6138210209017005</v>
      </c>
      <c r="M25" s="63">
        <f>_xlfn.STDEV.P(M2:M21)</f>
        <v>5.8549191110149854</v>
      </c>
      <c r="N25" s="63">
        <f>_xlfn.STDEV.P(N2:N21)</f>
        <v>6.2835954215781449</v>
      </c>
      <c r="O25" s="63">
        <f>_xlfn.STDEV.P(O2:O21)</f>
        <v>6.9404957801862945</v>
      </c>
      <c r="P25" s="63">
        <f>_xlfn.STDEV.P(P2:P21)</f>
        <v>4.9128989963888152</v>
      </c>
      <c r="Q25" s="63">
        <f>_xlfn.STDEV.P(Q2:Q21)</f>
        <v>5.239822810285812</v>
      </c>
      <c r="R25" s="63">
        <f>_xlfn.STDEV.P(R2:R21)</f>
        <v>8.5740173495538432</v>
      </c>
      <c r="S25" s="63">
        <f>_xlfn.STDEV.P(S2:S21)</f>
        <v>7.313015254964089</v>
      </c>
      <c r="T25" s="63">
        <f>_xlfn.STDEV.P(T2:T21)</f>
        <v>8.8873391013233185</v>
      </c>
      <c r="U25" s="63">
        <f>_xlfn.STDEV.P(U2:U21)</f>
        <v>5.5308154655947472</v>
      </c>
      <c r="V25" s="63">
        <f>_xlfn.STDEV.P(V2:V21)</f>
        <v>9.3409773285775426</v>
      </c>
      <c r="W25" s="63">
        <f>_xlfn.STDEV.P(W2:W21)</f>
        <v>10.596737036224724</v>
      </c>
      <c r="X25" s="63">
        <f>_xlfn.STDEV.P(X2:X21)</f>
        <v>9.1428032024031509</v>
      </c>
      <c r="Y25" s="63">
        <f>_xlfn.STDEV.P(Y2:Y21)</f>
        <v>12.355844026131383</v>
      </c>
      <c r="Z25" s="63">
        <f>_xlfn.STDEV.P(Z2:Z21)</f>
        <v>23.57769262471793</v>
      </c>
    </row>
    <row r="26" spans="1:26" ht="14.7" thickBot="1" x14ac:dyDescent="0.6">
      <c r="A26" s="54"/>
      <c r="B26" s="55"/>
      <c r="C26" s="76"/>
      <c r="D26" s="82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</sheetData>
  <sortState ref="Z2:Z21">
    <sortCondition ref="Z2:Z21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abSelected="1" topLeftCell="C6" zoomScale="45" zoomScaleNormal="55" workbookViewId="0">
      <selection activeCell="W44" sqref="W44"/>
    </sheetView>
  </sheetViews>
  <sheetFormatPr defaultRowHeight="14.4" x14ac:dyDescent="0.55000000000000004"/>
  <cols>
    <col min="1" max="1" width="18.15625" bestFit="1" customWidth="1"/>
    <col min="2" max="2" width="13.15625" bestFit="1" customWidth="1"/>
    <col min="3" max="3" width="41.89453125" customWidth="1"/>
    <col min="4" max="4" width="13.15625" bestFit="1" customWidth="1"/>
    <col min="5" max="5" width="12.62890625" bestFit="1" customWidth="1"/>
    <col min="6" max="6" width="13.20703125" bestFit="1" customWidth="1"/>
    <col min="7" max="7" width="12.62890625" bestFit="1" customWidth="1"/>
    <col min="8" max="9" width="13.20703125" bestFit="1" customWidth="1"/>
    <col min="10" max="11" width="12.62890625" bestFit="1" customWidth="1"/>
    <col min="12" max="12" width="14.15625" bestFit="1" customWidth="1"/>
    <col min="13" max="14" width="12.62890625" bestFit="1" customWidth="1"/>
    <col min="15" max="15" width="13.20703125" bestFit="1" customWidth="1"/>
    <col min="16" max="16" width="13.15625" bestFit="1" customWidth="1"/>
    <col min="17" max="21" width="12.62890625" bestFit="1" customWidth="1"/>
    <col min="22" max="22" width="13.20703125" bestFit="1" customWidth="1"/>
    <col min="23" max="23" width="12.62890625" bestFit="1" customWidth="1"/>
    <col min="24" max="24" width="13.20703125" bestFit="1" customWidth="1"/>
    <col min="25" max="25" width="12.62890625" bestFit="1" customWidth="1"/>
    <col min="26" max="26" width="13.20703125" bestFit="1" customWidth="1"/>
  </cols>
  <sheetData>
    <row r="1" spans="1:26" ht="14.7" thickBot="1" x14ac:dyDescent="0.6">
      <c r="A1" s="98" t="s">
        <v>3</v>
      </c>
      <c r="B1" s="99" t="s">
        <v>4</v>
      </c>
      <c r="C1" s="99" t="s">
        <v>5</v>
      </c>
      <c r="D1" s="99" t="s">
        <v>6</v>
      </c>
      <c r="E1" s="99" t="s">
        <v>7</v>
      </c>
      <c r="F1" s="99" t="s">
        <v>8</v>
      </c>
      <c r="G1" s="99" t="s">
        <v>9</v>
      </c>
      <c r="H1" s="99" t="s">
        <v>10</v>
      </c>
      <c r="I1" s="99" t="s">
        <v>11</v>
      </c>
      <c r="J1" s="99" t="s">
        <v>12</v>
      </c>
      <c r="K1" s="99" t="s">
        <v>13</v>
      </c>
      <c r="L1" s="99" t="s">
        <v>14</v>
      </c>
      <c r="M1" s="99" t="s">
        <v>15</v>
      </c>
      <c r="N1" s="99" t="s">
        <v>16</v>
      </c>
      <c r="O1" s="99" t="s">
        <v>17</v>
      </c>
      <c r="P1" s="99" t="s">
        <v>18</v>
      </c>
      <c r="Q1" s="99" t="s">
        <v>19</v>
      </c>
      <c r="R1" s="99" t="s">
        <v>20</v>
      </c>
      <c r="S1" s="99" t="s">
        <v>21</v>
      </c>
      <c r="T1" s="99" t="s">
        <v>22</v>
      </c>
      <c r="U1" s="99" t="s">
        <v>23</v>
      </c>
      <c r="V1" s="99" t="s">
        <v>24</v>
      </c>
      <c r="W1" s="99" t="s">
        <v>25</v>
      </c>
      <c r="X1" s="99" t="s">
        <v>26</v>
      </c>
      <c r="Y1" s="99" t="s">
        <v>27</v>
      </c>
      <c r="Z1" s="100" t="s">
        <v>28</v>
      </c>
    </row>
    <row r="2" spans="1:26" x14ac:dyDescent="0.55000000000000004">
      <c r="A2" s="36" t="s">
        <v>51</v>
      </c>
      <c r="B2" s="37" t="s">
        <v>52</v>
      </c>
      <c r="C2" s="38" t="s">
        <v>77</v>
      </c>
      <c r="D2" s="27">
        <v>-4550355285.7142801</v>
      </c>
      <c r="E2" s="28">
        <v>10717133150.6924</v>
      </c>
      <c r="F2" s="28">
        <v>14656321800.538601</v>
      </c>
      <c r="G2" s="28">
        <v>-596923827.78624105</v>
      </c>
      <c r="H2" s="28">
        <v>1896082770</v>
      </c>
      <c r="I2" s="28">
        <v>8336257207.6428499</v>
      </c>
      <c r="J2" s="28">
        <v>4914201435.4007101</v>
      </c>
      <c r="K2" s="28">
        <v>6928480000</v>
      </c>
      <c r="L2" s="28">
        <v>9318453649.8266392</v>
      </c>
      <c r="M2" s="28">
        <v>4877369178.4365101</v>
      </c>
      <c r="N2" s="28">
        <v>15292009410.509899</v>
      </c>
      <c r="O2" s="28">
        <v>20564938226.718498</v>
      </c>
      <c r="P2" s="28">
        <v>21200778607.8727</v>
      </c>
      <c r="Q2" s="28">
        <v>23281742361.530499</v>
      </c>
      <c r="R2" s="28">
        <v>25120732059.513401</v>
      </c>
      <c r="S2" s="28">
        <v>19779127976.9576</v>
      </c>
      <c r="T2" s="28">
        <v>4541713739.23769</v>
      </c>
      <c r="U2" s="28">
        <v>20510310832.446899</v>
      </c>
      <c r="V2" s="28">
        <v>18909826043.510502</v>
      </c>
      <c r="W2" s="28">
        <v>24993551748.0098</v>
      </c>
      <c r="X2" s="28">
        <v>19175077747.807701</v>
      </c>
      <c r="Y2" s="28">
        <v>21213080329.858299</v>
      </c>
      <c r="Z2" s="29">
        <v>-39799830000</v>
      </c>
    </row>
    <row r="3" spans="1:26" x14ac:dyDescent="0.55000000000000004">
      <c r="A3" s="39" t="s">
        <v>61</v>
      </c>
      <c r="B3" s="44" t="s">
        <v>62</v>
      </c>
      <c r="C3" s="40" t="s">
        <v>77</v>
      </c>
      <c r="D3" s="30">
        <v>-1881066666.6666701</v>
      </c>
      <c r="E3" s="31">
        <v>366252770235.15582</v>
      </c>
      <c r="F3" s="31">
        <v>295343566625.35425</v>
      </c>
      <c r="G3" s="31">
        <v>-586506666.66666698</v>
      </c>
      <c r="H3" s="31">
        <v>-334320000</v>
      </c>
      <c r="I3" s="31">
        <v>4385456396.4464302</v>
      </c>
      <c r="J3" s="31">
        <v>5975887388.8981199</v>
      </c>
      <c r="K3" s="31">
        <v>6175321114.5716496</v>
      </c>
      <c r="L3" s="31">
        <v>5505983968.5864096</v>
      </c>
      <c r="M3" s="31">
        <v>436351281.58290702</v>
      </c>
      <c r="N3" s="31">
        <v>4878894395.2517004</v>
      </c>
      <c r="O3" s="31">
        <v>4683855881.2677097</v>
      </c>
      <c r="P3" s="31">
        <v>5035060850.9458799</v>
      </c>
      <c r="Q3" s="31">
        <v>3371408456.5272298</v>
      </c>
      <c r="R3" s="31">
        <v>1509063087.30335</v>
      </c>
      <c r="S3" s="31">
        <v>3970644084.6213598</v>
      </c>
      <c r="T3" s="31">
        <v>21954833889.9561</v>
      </c>
      <c r="U3" s="31">
        <v>1014062501.14037</v>
      </c>
      <c r="V3" s="31">
        <v>12141122232.903999</v>
      </c>
      <c r="W3" s="31">
        <v>3079217251.3235502</v>
      </c>
      <c r="X3" s="31">
        <v>1621264195.4353199</v>
      </c>
      <c r="Y3" s="31">
        <v>23111903141.4893</v>
      </c>
      <c r="Z3" s="32">
        <v>9194808415.5922794</v>
      </c>
    </row>
    <row r="4" spans="1:26" x14ac:dyDescent="0.55000000000000004">
      <c r="A4" s="39" t="s">
        <v>57</v>
      </c>
      <c r="B4" s="44" t="s">
        <v>58</v>
      </c>
      <c r="C4" s="40" t="s">
        <v>77</v>
      </c>
      <c r="D4" s="30">
        <v>968831355.95909095</v>
      </c>
      <c r="E4" s="31">
        <v>50142053918.8909</v>
      </c>
      <c r="F4" s="31">
        <v>51550483853.850899</v>
      </c>
      <c r="G4" s="31">
        <v>783136092.25813997</v>
      </c>
      <c r="H4" s="31">
        <v>701422007.62977898</v>
      </c>
      <c r="I4" s="31">
        <v>6522098178.1805096</v>
      </c>
      <c r="J4" s="31">
        <v>623291744.343521</v>
      </c>
      <c r="K4" s="31">
        <v>6586792253.1097002</v>
      </c>
      <c r="L4" s="31">
        <v>9885001293.4435806</v>
      </c>
      <c r="M4" s="31">
        <v>7624489973.8818903</v>
      </c>
      <c r="N4" s="31">
        <v>3693271715.48139</v>
      </c>
      <c r="O4" s="31">
        <v>4139289122.6873698</v>
      </c>
      <c r="P4" s="31">
        <v>4626029122.4000702</v>
      </c>
      <c r="Q4" s="31">
        <v>8232518815.6208296</v>
      </c>
      <c r="R4" s="31">
        <v>5791659020.0999804</v>
      </c>
      <c r="S4" s="31">
        <v>1521139945.30532</v>
      </c>
      <c r="T4" s="31">
        <v>2215307020.3954101</v>
      </c>
      <c r="U4" s="31">
        <v>2058579911.05235</v>
      </c>
      <c r="V4" s="31">
        <v>5569462350.15205</v>
      </c>
      <c r="W4" s="31">
        <v>5116098443.4871502</v>
      </c>
      <c r="X4" s="31">
        <v>3153552569.39325</v>
      </c>
      <c r="Y4" s="31">
        <v>40658789144.938202</v>
      </c>
      <c r="Z4" s="32">
        <v>13666000000</v>
      </c>
    </row>
    <row r="5" spans="1:26" x14ac:dyDescent="0.55000000000000004">
      <c r="A5" s="39" t="s">
        <v>29</v>
      </c>
      <c r="B5" s="44" t="s">
        <v>30</v>
      </c>
      <c r="C5" s="40" t="s">
        <v>77</v>
      </c>
      <c r="D5" s="30">
        <v>982000000</v>
      </c>
      <c r="E5" s="31">
        <v>-2977391857.1428599</v>
      </c>
      <c r="F5" s="31">
        <v>-614133333.33333302</v>
      </c>
      <c r="G5" s="31">
        <v>1652010000</v>
      </c>
      <c r="H5" s="31">
        <v>4124710000</v>
      </c>
      <c r="I5" s="31">
        <v>5265250000</v>
      </c>
      <c r="J5" s="31">
        <v>5537347786.1933098</v>
      </c>
      <c r="K5" s="31">
        <v>6473157762.1291504</v>
      </c>
      <c r="L5" s="31">
        <v>9725553129.5246906</v>
      </c>
      <c r="M5" s="31">
        <v>4017158924.8840799</v>
      </c>
      <c r="N5" s="31">
        <v>11332718626.4345</v>
      </c>
      <c r="O5" s="31">
        <v>10839930944.681499</v>
      </c>
      <c r="P5" s="31">
        <v>15323933916.8241</v>
      </c>
      <c r="Q5" s="31">
        <v>9821661858.1587391</v>
      </c>
      <c r="R5" s="31">
        <v>5065335541.96486</v>
      </c>
      <c r="S5" s="31">
        <v>11758994011.285999</v>
      </c>
      <c r="T5" s="31">
        <v>3260164341.7739301</v>
      </c>
      <c r="U5" s="31">
        <v>11516861462.2845</v>
      </c>
      <c r="V5" s="31">
        <v>11716769818.754299</v>
      </c>
      <c r="W5" s="31">
        <v>6649187837.9860601</v>
      </c>
      <c r="X5" s="31">
        <v>4884127675.9570799</v>
      </c>
      <c r="Y5" s="31">
        <v>6902840207.7434301</v>
      </c>
      <c r="Z5" s="32">
        <v>15408346793.7001</v>
      </c>
    </row>
    <row r="6" spans="1:26" x14ac:dyDescent="0.55000000000000004">
      <c r="A6" s="39" t="s">
        <v>59</v>
      </c>
      <c r="B6" s="44" t="s">
        <v>60</v>
      </c>
      <c r="C6" s="40" t="s">
        <v>77</v>
      </c>
      <c r="D6" s="30">
        <v>2678030000</v>
      </c>
      <c r="E6" s="31">
        <v>56090924808.7938</v>
      </c>
      <c r="F6" s="31">
        <v>53073618897.403603</v>
      </c>
      <c r="G6" s="31">
        <v>1702000000</v>
      </c>
      <c r="H6" s="31">
        <v>2785000000</v>
      </c>
      <c r="I6" s="31">
        <v>10031000000</v>
      </c>
      <c r="J6" s="31">
        <v>20185000000</v>
      </c>
      <c r="K6" s="31">
        <v>22047000000</v>
      </c>
      <c r="L6" s="31">
        <v>19851000000</v>
      </c>
      <c r="M6" s="31">
        <v>8585000000</v>
      </c>
      <c r="N6" s="31">
        <v>9099000000</v>
      </c>
      <c r="O6" s="31">
        <v>16182000000</v>
      </c>
      <c r="P6" s="31">
        <v>13744000000</v>
      </c>
      <c r="Q6" s="31">
        <v>13563000000</v>
      </c>
      <c r="R6" s="31">
        <v>13337000000</v>
      </c>
      <c r="S6" s="31">
        <v>19263000000</v>
      </c>
      <c r="T6" s="31">
        <v>13835000000</v>
      </c>
      <c r="U6" s="31">
        <v>11190000000</v>
      </c>
      <c r="V6" s="31">
        <v>12450000000</v>
      </c>
      <c r="W6" s="31">
        <v>9507000000</v>
      </c>
      <c r="X6" s="31">
        <v>7675000000</v>
      </c>
      <c r="Y6" s="31">
        <v>12895000000</v>
      </c>
      <c r="Z6" s="32">
        <v>24702029705.092602</v>
      </c>
    </row>
    <row r="7" spans="1:26" x14ac:dyDescent="0.55000000000000004">
      <c r="A7" s="39" t="s">
        <v>49</v>
      </c>
      <c r="B7" s="44" t="s">
        <v>50</v>
      </c>
      <c r="C7" s="40" t="s">
        <v>77</v>
      </c>
      <c r="D7" s="30">
        <v>3584217307.1875601</v>
      </c>
      <c r="E7" s="31">
        <v>7270344986.4768</v>
      </c>
      <c r="F7" s="31">
        <v>11557373873.9419</v>
      </c>
      <c r="G7" s="31">
        <v>3681984671.4342899</v>
      </c>
      <c r="H7" s="31">
        <v>5429250989.8571701</v>
      </c>
      <c r="I7" s="31">
        <v>7269407225.6143799</v>
      </c>
      <c r="J7" s="31">
        <v>20029119267.139599</v>
      </c>
      <c r="K7" s="31">
        <v>25227740886.6819</v>
      </c>
      <c r="L7" s="31">
        <v>43406277075.810898</v>
      </c>
      <c r="M7" s="31">
        <v>35581372929.6642</v>
      </c>
      <c r="N7" s="31">
        <v>27396885033.783901</v>
      </c>
      <c r="O7" s="31">
        <v>36498654597.858902</v>
      </c>
      <c r="P7" s="31">
        <v>23995685014.214199</v>
      </c>
      <c r="Q7" s="31">
        <v>28153031270.320301</v>
      </c>
      <c r="R7" s="31">
        <v>34576643694.138298</v>
      </c>
      <c r="S7" s="31">
        <v>44009492129.531898</v>
      </c>
      <c r="T7" s="31">
        <v>44458571545.797997</v>
      </c>
      <c r="U7" s="31">
        <v>39966091358.738403</v>
      </c>
      <c r="V7" s="31">
        <v>42117450737.264397</v>
      </c>
      <c r="W7" s="31">
        <v>50610647353.591202</v>
      </c>
      <c r="X7" s="31">
        <v>64362364994.375397</v>
      </c>
      <c r="Y7" s="31">
        <v>44727277562.880997</v>
      </c>
      <c r="Z7" s="32">
        <v>25044700000</v>
      </c>
    </row>
    <row r="8" spans="1:26" x14ac:dyDescent="0.55000000000000004">
      <c r="A8" s="39" t="s">
        <v>65</v>
      </c>
      <c r="B8" s="44" t="s">
        <v>66</v>
      </c>
      <c r="C8" s="40" t="s">
        <v>77</v>
      </c>
      <c r="D8" s="30">
        <v>10418314339.142799</v>
      </c>
      <c r="E8" s="31">
        <v>28391098831.3382</v>
      </c>
      <c r="F8" s="31">
        <v>20160111120</v>
      </c>
      <c r="G8" s="31">
        <v>7010000000</v>
      </c>
      <c r="H8" s="31">
        <v>13294400000</v>
      </c>
      <c r="I8" s="31">
        <v>13643200000</v>
      </c>
      <c r="J8" s="31">
        <v>9161900000</v>
      </c>
      <c r="K8" s="31">
        <v>8826900000</v>
      </c>
      <c r="L8" s="31">
        <v>11187500000</v>
      </c>
      <c r="M8" s="31">
        <v>9021900000</v>
      </c>
      <c r="N8" s="31">
        <v>9497400000</v>
      </c>
      <c r="O8" s="31">
        <v>9773000000</v>
      </c>
      <c r="P8" s="31">
        <v>9495900000</v>
      </c>
      <c r="Q8" s="31">
        <v>12766600000</v>
      </c>
      <c r="R8" s="31">
        <v>9273600000</v>
      </c>
      <c r="S8" s="31">
        <v>4104100000</v>
      </c>
      <c r="T8" s="31">
        <v>12104300000</v>
      </c>
      <c r="U8" s="31">
        <v>17912900000</v>
      </c>
      <c r="V8" s="31">
        <v>12182600000</v>
      </c>
      <c r="W8" s="31">
        <v>9634300000</v>
      </c>
      <c r="X8" s="31">
        <v>8764900000</v>
      </c>
      <c r="Y8" s="31">
        <v>22060400000</v>
      </c>
      <c r="Z8" s="32">
        <v>28055082623.990398</v>
      </c>
    </row>
    <row r="9" spans="1:26" x14ac:dyDescent="0.55000000000000004">
      <c r="A9" s="39" t="s">
        <v>37</v>
      </c>
      <c r="B9" s="44" t="s">
        <v>38</v>
      </c>
      <c r="C9" s="40" t="s">
        <v>77</v>
      </c>
      <c r="D9" s="30">
        <v>10688168325.6084</v>
      </c>
      <c r="E9" s="31">
        <v>2847300000</v>
      </c>
      <c r="F9" s="31">
        <v>1479804588.75227</v>
      </c>
      <c r="G9" s="31">
        <v>7011792709.0463104</v>
      </c>
      <c r="H9" s="31">
        <v>1452416545.21802</v>
      </c>
      <c r="I9" s="31">
        <v>25552226940.928101</v>
      </c>
      <c r="J9" s="31">
        <v>64302303096.866798</v>
      </c>
      <c r="K9" s="31">
        <v>120451484862.004</v>
      </c>
      <c r="L9" s="31">
        <v>70119614332.509506</v>
      </c>
      <c r="M9" s="31">
        <v>20951090410.313202</v>
      </c>
      <c r="N9" s="31">
        <v>29714744325.474098</v>
      </c>
      <c r="O9" s="31">
        <v>38338330427.428001</v>
      </c>
      <c r="P9" s="31">
        <v>49368985104.199097</v>
      </c>
      <c r="Q9" s="31">
        <v>67027866778.268204</v>
      </c>
      <c r="R9" s="31">
        <v>64174605785.634697</v>
      </c>
      <c r="S9" s="31">
        <v>59986208237.073502</v>
      </c>
      <c r="T9" s="31">
        <v>34201872160.608501</v>
      </c>
      <c r="U9" s="31">
        <v>25357801000.497002</v>
      </c>
      <c r="V9" s="31">
        <v>42603762048.597099</v>
      </c>
      <c r="W9" s="31">
        <v>48942300762.245201</v>
      </c>
      <c r="X9" s="31">
        <v>29123011879.299801</v>
      </c>
      <c r="Y9" s="31">
        <v>59125104306.867897</v>
      </c>
      <c r="Z9" s="32">
        <v>39103650042</v>
      </c>
    </row>
    <row r="10" spans="1:26" x14ac:dyDescent="0.55000000000000004">
      <c r="A10" s="39" t="s">
        <v>47</v>
      </c>
      <c r="B10" s="44" t="s">
        <v>48</v>
      </c>
      <c r="C10" s="40" t="s">
        <v>77</v>
      </c>
      <c r="D10" s="30">
        <v>11509400000</v>
      </c>
      <c r="E10" s="31">
        <v>47053000000</v>
      </c>
      <c r="F10" s="31">
        <v>51268214890.625397</v>
      </c>
      <c r="G10" s="31">
        <v>7928630000</v>
      </c>
      <c r="H10" s="31">
        <v>15402990000</v>
      </c>
      <c r="I10" s="31">
        <v>15508050000</v>
      </c>
      <c r="J10" s="31">
        <v>37594770000</v>
      </c>
      <c r="K10" s="31">
        <v>55873680000</v>
      </c>
      <c r="L10" s="31">
        <v>74782910000</v>
      </c>
      <c r="M10" s="31">
        <v>36583100000</v>
      </c>
      <c r="N10" s="31">
        <v>43167780000</v>
      </c>
      <c r="O10" s="31">
        <v>55083630000</v>
      </c>
      <c r="P10" s="31">
        <v>50587560000</v>
      </c>
      <c r="Q10" s="31">
        <v>69218890000</v>
      </c>
      <c r="R10" s="31">
        <v>22031340000</v>
      </c>
      <c r="S10" s="31">
        <v>6852970000</v>
      </c>
      <c r="T10" s="31">
        <v>32538900000</v>
      </c>
      <c r="U10" s="31">
        <v>28557440000</v>
      </c>
      <c r="V10" s="31">
        <v>8784850000</v>
      </c>
      <c r="W10" s="31">
        <v>31974770000</v>
      </c>
      <c r="X10" s="31">
        <v>9478810000</v>
      </c>
      <c r="Y10" s="31">
        <v>40449990000</v>
      </c>
      <c r="Z10" s="32">
        <v>44897919400.637703</v>
      </c>
    </row>
    <row r="11" spans="1:26" x14ac:dyDescent="0.55000000000000004">
      <c r="A11" s="39" t="s">
        <v>43</v>
      </c>
      <c r="B11" s="44" t="s">
        <v>44</v>
      </c>
      <c r="C11" s="40" t="s">
        <v>77</v>
      </c>
      <c r="D11" s="30">
        <v>13172981900.3999</v>
      </c>
      <c r="E11" s="31">
        <v>23225846372.250999</v>
      </c>
      <c r="F11" s="31">
        <v>17239360004.883499</v>
      </c>
      <c r="G11" s="31">
        <v>8771535612.3150597</v>
      </c>
      <c r="H11" s="31">
        <v>7527948175.2232504</v>
      </c>
      <c r="I11" s="31">
        <v>5459618342.9407902</v>
      </c>
      <c r="J11" s="31">
        <v>-2396909736.3050799</v>
      </c>
      <c r="K11" s="31">
        <v>21631204435.6847</v>
      </c>
      <c r="L11" s="31">
        <v>24624845329.5648</v>
      </c>
      <c r="M11" s="31">
        <v>12226471578.7439</v>
      </c>
      <c r="N11" s="31">
        <v>7440979284.1628599</v>
      </c>
      <c r="O11" s="31">
        <v>-850717035.06823897</v>
      </c>
      <c r="P11" s="31">
        <v>546962692.19072795</v>
      </c>
      <c r="Q11" s="31">
        <v>10648441636.2071</v>
      </c>
      <c r="R11" s="31">
        <v>19752249424.087101</v>
      </c>
      <c r="S11" s="31">
        <v>5252218412.3917198</v>
      </c>
      <c r="T11" s="31">
        <v>40954181468.553299</v>
      </c>
      <c r="U11" s="31">
        <v>18802251208.106899</v>
      </c>
      <c r="V11" s="31">
        <v>25289367857.851799</v>
      </c>
      <c r="W11" s="31">
        <v>39960544340.014099</v>
      </c>
      <c r="X11" s="31">
        <v>62584719398.091202</v>
      </c>
      <c r="Y11" s="31">
        <v>35204421198.892502</v>
      </c>
      <c r="Z11" s="32">
        <v>49278835164.4328</v>
      </c>
    </row>
    <row r="12" spans="1:26" x14ac:dyDescent="0.55000000000000004">
      <c r="A12" s="39" t="s">
        <v>0</v>
      </c>
      <c r="B12" s="44" t="s">
        <v>1</v>
      </c>
      <c r="C12" s="40" t="s">
        <v>77</v>
      </c>
      <c r="D12" s="30">
        <v>14892978180.1828</v>
      </c>
      <c r="E12" s="31">
        <v>19640000</v>
      </c>
      <c r="F12" s="31">
        <v>145085548.722222</v>
      </c>
      <c r="G12" s="31">
        <v>8985246029.5004005</v>
      </c>
      <c r="H12" s="31">
        <v>42907672820.375603</v>
      </c>
      <c r="I12" s="31">
        <v>-25093141435.189602</v>
      </c>
      <c r="J12" s="31">
        <v>30551100656.598301</v>
      </c>
      <c r="K12" s="31">
        <v>44440876036.514702</v>
      </c>
      <c r="L12" s="31">
        <v>45170097261.118401</v>
      </c>
      <c r="M12" s="31">
        <v>28932973452.6035</v>
      </c>
      <c r="N12" s="31">
        <v>35554698682.424698</v>
      </c>
      <c r="O12" s="31">
        <v>65578266555.523003</v>
      </c>
      <c r="P12" s="31">
        <v>57571285654.744698</v>
      </c>
      <c r="Q12" s="31">
        <v>54472699003.596001</v>
      </c>
      <c r="R12" s="31">
        <v>63204516347.872597</v>
      </c>
      <c r="S12" s="31">
        <v>46892808567.851601</v>
      </c>
      <c r="T12" s="31">
        <v>42970225977.708801</v>
      </c>
      <c r="U12" s="31">
        <v>48199372039.901497</v>
      </c>
      <c r="V12" s="31">
        <v>60686639529.922997</v>
      </c>
      <c r="W12" s="31">
        <v>38745129661.119598</v>
      </c>
      <c r="X12" s="31">
        <v>15841437866.435499</v>
      </c>
      <c r="Y12" s="31">
        <v>27804057511.325802</v>
      </c>
      <c r="Z12" s="32">
        <v>49940258404.265999</v>
      </c>
    </row>
    <row r="13" spans="1:26" x14ac:dyDescent="0.55000000000000004">
      <c r="A13" s="39" t="s">
        <v>31</v>
      </c>
      <c r="B13" s="44" t="s">
        <v>32</v>
      </c>
      <c r="C13" s="40" t="s">
        <v>77</v>
      </c>
      <c r="D13" s="30">
        <v>18382284821</v>
      </c>
      <c r="E13" s="31">
        <v>2166136829.7639899</v>
      </c>
      <c r="F13" s="31">
        <v>1082000000</v>
      </c>
      <c r="G13" s="31">
        <v>10123013670.990101</v>
      </c>
      <c r="H13" s="31">
        <v>18161380459.7533</v>
      </c>
      <c r="I13" s="31">
        <v>15459981604.1196</v>
      </c>
      <c r="J13" s="31">
        <v>19418085598.079399</v>
      </c>
      <c r="K13" s="31">
        <v>44579492463.633598</v>
      </c>
      <c r="L13" s="31">
        <v>50716402711.478699</v>
      </c>
      <c r="M13" s="31">
        <v>31480931700</v>
      </c>
      <c r="N13" s="31">
        <v>82389932468.070007</v>
      </c>
      <c r="O13" s="31">
        <v>102427228231.42</v>
      </c>
      <c r="P13" s="31">
        <v>92568388321.339996</v>
      </c>
      <c r="Q13" s="31">
        <v>75211029129.399994</v>
      </c>
      <c r="R13" s="31">
        <v>87713983217.240005</v>
      </c>
      <c r="S13" s="31">
        <v>64738153494.440002</v>
      </c>
      <c r="T13" s="31">
        <v>74294627801.190002</v>
      </c>
      <c r="U13" s="31">
        <v>68885491315.229996</v>
      </c>
      <c r="V13" s="31">
        <v>78162724370.350006</v>
      </c>
      <c r="W13" s="31">
        <v>69174411753.429993</v>
      </c>
      <c r="X13" s="31">
        <v>38270116307.449997</v>
      </c>
      <c r="Y13" s="31">
        <v>46440503520.190002</v>
      </c>
      <c r="Z13" s="32">
        <v>49984660121.888702</v>
      </c>
    </row>
    <row r="14" spans="1:26" x14ac:dyDescent="0.55000000000000004">
      <c r="A14" s="39" t="s">
        <v>45</v>
      </c>
      <c r="B14" s="44" t="s">
        <v>46</v>
      </c>
      <c r="C14" s="40" t="s">
        <v>77</v>
      </c>
      <c r="D14" s="30">
        <v>32994718699.75</v>
      </c>
      <c r="E14" s="31">
        <v>30060020323</v>
      </c>
      <c r="F14" s="31">
        <v>24486425376.881901</v>
      </c>
      <c r="G14" s="31">
        <v>18157929031</v>
      </c>
      <c r="H14" s="31">
        <v>25142732841</v>
      </c>
      <c r="I14" s="31">
        <v>25161667683</v>
      </c>
      <c r="J14" s="31">
        <v>22126774744</v>
      </c>
      <c r="K14" s="31">
        <v>31019642670</v>
      </c>
      <c r="L14" s="31">
        <v>29753198466</v>
      </c>
      <c r="M14" s="31">
        <v>19652158435</v>
      </c>
      <c r="N14" s="31">
        <v>30525248263</v>
      </c>
      <c r="O14" s="31">
        <v>23894767260</v>
      </c>
      <c r="P14" s="31">
        <v>18231587899</v>
      </c>
      <c r="Q14" s="31">
        <v>50927449655</v>
      </c>
      <c r="R14" s="31">
        <v>28438261663</v>
      </c>
      <c r="S14" s="31">
        <v>36249939587</v>
      </c>
      <c r="T14" s="31">
        <v>38899500849</v>
      </c>
      <c r="U14" s="31">
        <v>33114137975</v>
      </c>
      <c r="V14" s="31">
        <v>37857187751</v>
      </c>
      <c r="W14" s="31">
        <v>29946318915</v>
      </c>
      <c r="X14" s="31">
        <v>31523517526</v>
      </c>
      <c r="Y14" s="31">
        <v>33747517100</v>
      </c>
      <c r="Z14" s="32">
        <v>62728326243.560799</v>
      </c>
    </row>
    <row r="15" spans="1:26" x14ac:dyDescent="0.55000000000000004">
      <c r="A15" s="39" t="s">
        <v>39</v>
      </c>
      <c r="B15" s="44" t="s">
        <v>40</v>
      </c>
      <c r="C15" s="40" t="s">
        <v>77</v>
      </c>
      <c r="D15" s="30">
        <v>41389082664.762802</v>
      </c>
      <c r="E15" s="31">
        <v>14878086498.8458</v>
      </c>
      <c r="F15" s="31">
        <v>16586600193.114</v>
      </c>
      <c r="G15" s="31">
        <v>19572886733.572201</v>
      </c>
      <c r="H15" s="31">
        <v>20100742901.803699</v>
      </c>
      <c r="I15" s="31">
        <v>36762073074.939003</v>
      </c>
      <c r="J15" s="31">
        <v>56995485107.010101</v>
      </c>
      <c r="K15" s="31">
        <v>65975535145.485603</v>
      </c>
      <c r="L15" s="31">
        <v>-9501579210.4656906</v>
      </c>
      <c r="M15" s="31">
        <v>16607196344.845699</v>
      </c>
      <c r="N15" s="31">
        <v>9930501390.9089203</v>
      </c>
      <c r="O15" s="31">
        <v>34465481829.5317</v>
      </c>
      <c r="P15" s="31">
        <v>34901033.014975503</v>
      </c>
      <c r="Q15" s="31">
        <v>19531411961.818501</v>
      </c>
      <c r="R15" s="31">
        <v>17032744039.043301</v>
      </c>
      <c r="S15" s="31">
        <v>13303439230.2377</v>
      </c>
      <c r="T15" s="31">
        <v>25656663794.791599</v>
      </c>
      <c r="U15" s="31">
        <v>11138429977.1854</v>
      </c>
      <c r="V15" s="31">
        <v>44249715319.148399</v>
      </c>
      <c r="W15" s="31">
        <v>35760550299.485298</v>
      </c>
      <c r="X15" s="31">
        <v>-17050399620.8673</v>
      </c>
      <c r="Y15" s="31">
        <v>24902365870.562801</v>
      </c>
      <c r="Z15" s="32">
        <v>62728998895.995598</v>
      </c>
    </row>
    <row r="16" spans="1:26" x14ac:dyDescent="0.55000000000000004">
      <c r="A16" s="39" t="s">
        <v>41</v>
      </c>
      <c r="B16" s="44" t="s">
        <v>42</v>
      </c>
      <c r="C16" s="40" t="s">
        <v>77</v>
      </c>
      <c r="D16" s="30">
        <v>42095300000</v>
      </c>
      <c r="E16" s="31">
        <v>56948542386.909103</v>
      </c>
      <c r="F16" s="31">
        <v>89760582753.223495</v>
      </c>
      <c r="G16" s="31">
        <v>36011240472.834099</v>
      </c>
      <c r="H16" s="31">
        <v>87059621382.283905</v>
      </c>
      <c r="I16" s="31">
        <v>252653397148.11099</v>
      </c>
      <c r="J16" s="31">
        <v>203636431868.24399</v>
      </c>
      <c r="K16" s="31">
        <v>209514959646.90799</v>
      </c>
      <c r="L16" s="31">
        <v>253454117907.32199</v>
      </c>
      <c r="M16" s="31">
        <v>14547108445.0914</v>
      </c>
      <c r="N16" s="31">
        <v>66734551294.091301</v>
      </c>
      <c r="O16" s="31">
        <v>27012050072.3452</v>
      </c>
      <c r="P16" s="31">
        <v>46750789727.726402</v>
      </c>
      <c r="Q16" s="31">
        <v>54473175400.241501</v>
      </c>
      <c r="R16" s="31">
        <v>58890445252.713997</v>
      </c>
      <c r="S16" s="31">
        <v>45333483122.089897</v>
      </c>
      <c r="T16" s="31">
        <v>324813224213.021</v>
      </c>
      <c r="U16" s="31">
        <v>125358809934.121</v>
      </c>
      <c r="V16" s="31">
        <v>-25055440306.907299</v>
      </c>
      <c r="W16" s="31">
        <v>19790761929.127701</v>
      </c>
      <c r="X16" s="31">
        <v>157185559299.98999</v>
      </c>
      <c r="Y16" s="31">
        <v>5922252759.1561604</v>
      </c>
      <c r="Z16" s="32">
        <v>70084936395.402496</v>
      </c>
    </row>
    <row r="17" spans="1:26" x14ac:dyDescent="0.55000000000000004">
      <c r="A17" s="39" t="s">
        <v>35</v>
      </c>
      <c r="B17" s="44" t="s">
        <v>36</v>
      </c>
      <c r="C17" s="40" t="s">
        <v>77</v>
      </c>
      <c r="D17" s="30">
        <v>68303350856.083603</v>
      </c>
      <c r="E17" s="31">
        <v>5128093561.6268797</v>
      </c>
      <c r="F17" s="31">
        <v>5208967106.2789402</v>
      </c>
      <c r="G17" s="31">
        <v>42350800678.350899</v>
      </c>
      <c r="H17" s="31">
        <v>35608535812.871902</v>
      </c>
      <c r="I17" s="31">
        <v>85137061931.253601</v>
      </c>
      <c r="J17" s="31">
        <v>78957053786.134903</v>
      </c>
      <c r="K17" s="31">
        <v>83777598395.449905</v>
      </c>
      <c r="L17" s="31">
        <v>67997446904.973297</v>
      </c>
      <c r="M17" s="31">
        <v>18422928061.913101</v>
      </c>
      <c r="N17" s="31">
        <v>38889439213.312599</v>
      </c>
      <c r="O17" s="31">
        <v>44205811126.579201</v>
      </c>
      <c r="P17" s="31">
        <v>32944663317.8722</v>
      </c>
      <c r="Q17" s="31">
        <v>31589283790.554901</v>
      </c>
      <c r="R17" s="31">
        <v>5804878132.6663504</v>
      </c>
      <c r="S17" s="31">
        <v>42825414105.940903</v>
      </c>
      <c r="T17" s="31">
        <v>32803666728.594002</v>
      </c>
      <c r="U17" s="31">
        <v>35868111746.0373</v>
      </c>
      <c r="V17" s="31">
        <v>77493098693.237793</v>
      </c>
      <c r="W17" s="31">
        <v>53499337503.741302</v>
      </c>
      <c r="X17" s="31">
        <v>19368829836.4655</v>
      </c>
      <c r="Y17" s="31">
        <v>95864839855.814697</v>
      </c>
      <c r="Z17" s="32">
        <v>74606361830.229996</v>
      </c>
    </row>
    <row r="18" spans="1:26" x14ac:dyDescent="0.55000000000000004">
      <c r="A18" s="39" t="s">
        <v>33</v>
      </c>
      <c r="B18" s="44" t="s">
        <v>34</v>
      </c>
      <c r="C18" s="40" t="s">
        <v>77</v>
      </c>
      <c r="D18" s="30">
        <v>164130335444.12299</v>
      </c>
      <c r="E18" s="31">
        <v>3352000000</v>
      </c>
      <c r="F18" s="31">
        <v>2148910000</v>
      </c>
      <c r="G18" s="31">
        <v>57900937467.386398</v>
      </c>
      <c r="H18" s="31">
        <v>68117272181.219398</v>
      </c>
      <c r="I18" s="31">
        <v>104108693867.08501</v>
      </c>
      <c r="J18" s="31">
        <v>124082035618.506</v>
      </c>
      <c r="K18" s="31">
        <v>156249335203.202</v>
      </c>
      <c r="L18" s="31">
        <v>171534650311.569</v>
      </c>
      <c r="M18" s="31">
        <v>131057052869.5</v>
      </c>
      <c r="N18" s="31">
        <v>243703434558.17801</v>
      </c>
      <c r="O18" s="31">
        <v>280072219149.935</v>
      </c>
      <c r="P18" s="31">
        <v>241213868161.42001</v>
      </c>
      <c r="Q18" s="31">
        <v>290928431467.00299</v>
      </c>
      <c r="R18" s="31">
        <v>268097181064.33499</v>
      </c>
      <c r="S18" s="31">
        <v>242489331627.39899</v>
      </c>
      <c r="T18" s="31">
        <v>174749584584.05099</v>
      </c>
      <c r="U18" s="31">
        <v>166083755721.64899</v>
      </c>
      <c r="V18" s="31">
        <v>235365050036.341</v>
      </c>
      <c r="W18" s="31">
        <v>187169822364.755</v>
      </c>
      <c r="X18" s="31">
        <v>253095616058.57999</v>
      </c>
      <c r="Y18" s="31">
        <v>344074977062.47998</v>
      </c>
      <c r="Z18" s="32">
        <v>105424958013.771</v>
      </c>
    </row>
    <row r="19" spans="1:26" x14ac:dyDescent="0.55000000000000004">
      <c r="A19" s="39" t="s">
        <v>53</v>
      </c>
      <c r="B19" s="44" t="s">
        <v>54</v>
      </c>
      <c r="C19" s="40" t="s">
        <v>77</v>
      </c>
      <c r="D19" s="30">
        <v>248007397121.85901</v>
      </c>
      <c r="E19" s="31">
        <v>6522300000</v>
      </c>
      <c r="F19" s="31">
        <v>5475100000</v>
      </c>
      <c r="G19" s="31">
        <v>65401516009.249298</v>
      </c>
      <c r="H19" s="31">
        <v>-20408419557.142899</v>
      </c>
      <c r="I19" s="31">
        <v>59835195025.191704</v>
      </c>
      <c r="J19" s="31">
        <v>87444159239.062805</v>
      </c>
      <c r="K19" s="31">
        <v>50847183837.014801</v>
      </c>
      <c r="L19" s="31">
        <v>30954735498.025002</v>
      </c>
      <c r="M19" s="31">
        <v>56701916794.970001</v>
      </c>
      <c r="N19" s="31">
        <v>86037502102.164505</v>
      </c>
      <c r="O19" s="31">
        <v>97535403952.549301</v>
      </c>
      <c r="P19" s="31">
        <v>65443087632.2705</v>
      </c>
      <c r="Q19" s="31">
        <v>67199694458.936798</v>
      </c>
      <c r="R19" s="31">
        <v>19532082849.084301</v>
      </c>
      <c r="S19" s="31">
        <v>62475577277.799103</v>
      </c>
      <c r="T19" s="31">
        <v>64744235790.212898</v>
      </c>
      <c r="U19" s="31">
        <v>109485971372.509</v>
      </c>
      <c r="V19" s="31">
        <v>166915563991.37399</v>
      </c>
      <c r="W19" s="31">
        <v>73974461220.615799</v>
      </c>
      <c r="X19" s="31">
        <v>176867343557.22299</v>
      </c>
      <c r="Y19" s="31">
        <v>102155425721.645</v>
      </c>
      <c r="Z19" s="32">
        <v>150385887292.02322</v>
      </c>
    </row>
    <row r="20" spans="1:26" x14ac:dyDescent="0.55000000000000004">
      <c r="A20" s="39" t="s">
        <v>55</v>
      </c>
      <c r="B20" s="44" t="s">
        <v>56</v>
      </c>
      <c r="C20" s="40" t="s">
        <v>77</v>
      </c>
      <c r="D20" s="30">
        <v>349125000000</v>
      </c>
      <c r="E20" s="31">
        <v>172496000000</v>
      </c>
      <c r="F20" s="31">
        <v>111055000000</v>
      </c>
      <c r="G20" s="31">
        <v>117106000000</v>
      </c>
      <c r="H20" s="31">
        <v>213641000000</v>
      </c>
      <c r="I20" s="31">
        <v>142344000000</v>
      </c>
      <c r="J20" s="31">
        <v>298463000000</v>
      </c>
      <c r="K20" s="31">
        <v>346613000000</v>
      </c>
      <c r="L20" s="31">
        <v>341092000000</v>
      </c>
      <c r="M20" s="31">
        <v>161083000000</v>
      </c>
      <c r="N20" s="31">
        <v>264039000000</v>
      </c>
      <c r="O20" s="31">
        <v>263497000000</v>
      </c>
      <c r="P20" s="31">
        <v>250345000000</v>
      </c>
      <c r="Q20" s="31">
        <v>288131000000</v>
      </c>
      <c r="R20" s="31">
        <v>251856000000</v>
      </c>
      <c r="S20" s="31">
        <v>511434000000</v>
      </c>
      <c r="T20" s="31">
        <v>474388000000</v>
      </c>
      <c r="U20" s="31">
        <v>380823000000</v>
      </c>
      <c r="V20" s="31">
        <v>214715000000</v>
      </c>
      <c r="W20" s="31">
        <v>315984000000</v>
      </c>
      <c r="X20" s="31">
        <v>138363000000</v>
      </c>
      <c r="Y20" s="31">
        <v>493085000000</v>
      </c>
      <c r="Z20" s="32">
        <v>180166881345.04001</v>
      </c>
    </row>
    <row r="21" spans="1:26" ht="14.7" thickBot="1" x14ac:dyDescent="0.6">
      <c r="A21" s="41" t="s">
        <v>63</v>
      </c>
      <c r="B21" s="45" t="s">
        <v>64</v>
      </c>
      <c r="C21" s="42" t="s">
        <v>77</v>
      </c>
      <c r="D21" s="33">
        <v>633986714307.62695</v>
      </c>
      <c r="E21" s="34">
        <v>4926033619.1846199</v>
      </c>
      <c r="F21" s="34">
        <v>3473830000</v>
      </c>
      <c r="G21" s="34">
        <v>293507610673.75494</v>
      </c>
      <c r="H21" s="34">
        <v>313836058139.60266</v>
      </c>
      <c r="I21" s="34">
        <v>731279014292.63</v>
      </c>
      <c r="J21" s="34">
        <v>911860089995.15784</v>
      </c>
      <c r="K21" s="34">
        <v>1477512334051.5247</v>
      </c>
      <c r="L21" s="34">
        <v>828460948198.70642</v>
      </c>
      <c r="M21" s="34">
        <v>478991025004.20612</v>
      </c>
      <c r="N21" s="34">
        <v>539582758000.96906</v>
      </c>
      <c r="O21" s="34">
        <v>877745479520.97168</v>
      </c>
      <c r="P21" s="34">
        <v>565178435825.78186</v>
      </c>
      <c r="Q21" s="34">
        <v>617100206501.43091</v>
      </c>
      <c r="R21" s="34">
        <v>432596924443.51477</v>
      </c>
      <c r="S21" s="34">
        <v>817289334837.33838</v>
      </c>
      <c r="T21" s="34">
        <v>722640340925.58179</v>
      </c>
      <c r="U21" s="34">
        <v>529597236416.1839</v>
      </c>
      <c r="V21" s="34">
        <v>-76790049426.719116</v>
      </c>
      <c r="W21" s="34">
        <v>507462024001.28912</v>
      </c>
      <c r="X21" s="34">
        <v>227018128125.64896</v>
      </c>
      <c r="Y21" s="34">
        <v>554024354053.51428</v>
      </c>
      <c r="Z21" s="35">
        <v>388078000000</v>
      </c>
    </row>
    <row r="22" spans="1:26" x14ac:dyDescent="0.55000000000000004">
      <c r="A22" s="52"/>
      <c r="B22" s="53"/>
      <c r="C22" s="56" t="s">
        <v>80</v>
      </c>
      <c r="D22" s="101">
        <f>AVERAGE(D2:D21)</f>
        <v>83043884168.565247</v>
      </c>
      <c r="E22" s="60">
        <f>AVERAGE(E2:E21)</f>
        <v>44275496683.289322</v>
      </c>
      <c r="F22" s="60">
        <f>AVERAGE(F2:F21)</f>
        <v>38756861165.011879</v>
      </c>
      <c r="G22" s="60">
        <f>AVERAGE(G2:G21)</f>
        <v>35323741967.861961</v>
      </c>
      <c r="H22" s="60">
        <f t="shared" ref="H22:Y22" si="0">AVERAGE(H2:H21)</f>
        <v>42822324873.484787</v>
      </c>
      <c r="I22" s="60">
        <f t="shared" si="0"/>
        <v>76481025374.144669</v>
      </c>
      <c r="J22" s="60">
        <f t="shared" si="0"/>
        <v>99973056379.76651</v>
      </c>
      <c r="K22" s="60">
        <f t="shared" si="0"/>
        <v>139537585938.19571</v>
      </c>
      <c r="L22" s="60">
        <f t="shared" si="0"/>
        <v>104401957841.39969</v>
      </c>
      <c r="M22" s="60">
        <f t="shared" si="0"/>
        <v>54869029769.281822</v>
      </c>
      <c r="N22" s="60">
        <f t="shared" si="0"/>
        <v>77945037438.210876</v>
      </c>
      <c r="O22" s="60">
        <f t="shared" si="0"/>
        <v>100584330993.22144</v>
      </c>
      <c r="P22" s="60">
        <f>AVERAGE(P2:P21)</f>
        <v>78210345144.090866</v>
      </c>
      <c r="Q22" s="60">
        <f t="shared" si="0"/>
        <v>89782477127.230728</v>
      </c>
      <c r="R22" s="60">
        <f t="shared" si="0"/>
        <v>71689962281.110596</v>
      </c>
      <c r="S22" s="60">
        <f t="shared" si="0"/>
        <v>102976468832.36319</v>
      </c>
      <c r="T22" s="60">
        <f t="shared" si="0"/>
        <v>109301245741.52371</v>
      </c>
      <c r="U22" s="60">
        <f t="shared" si="0"/>
        <v>84272030738.604172</v>
      </c>
      <c r="V22" s="60">
        <f t="shared" si="0"/>
        <v>50268235052.339096</v>
      </c>
      <c r="W22" s="60">
        <f t="shared" si="0"/>
        <v>78098721769.261047</v>
      </c>
      <c r="X22" s="60">
        <f t="shared" si="0"/>
        <v>62565298870.864273</v>
      </c>
      <c r="Y22" s="60">
        <f t="shared" si="0"/>
        <v>101718504967.36797</v>
      </c>
      <c r="Z22" s="60">
        <f>AVERAGE(Z2:Z21)</f>
        <v>70184040534.38118</v>
      </c>
    </row>
    <row r="23" spans="1:26" x14ac:dyDescent="0.55000000000000004">
      <c r="A23" s="52"/>
      <c r="B23" s="53"/>
      <c r="C23" s="57" t="s">
        <v>81</v>
      </c>
      <c r="D23" s="102">
        <f>MEDIAN(D2:D21)</f>
        <v>14032980040.291351</v>
      </c>
      <c r="E23" s="61">
        <f>MEDIAN(E2:E21)</f>
        <v>12797609824.7691</v>
      </c>
      <c r="F23" s="61">
        <f t="shared" ref="F23:Z23" si="1">MEDIAN(F2:F21)</f>
        <v>15621460996.826302</v>
      </c>
      <c r="G23" s="61">
        <f t="shared" si="1"/>
        <v>8878390820.9077301</v>
      </c>
      <c r="H23" s="61">
        <f t="shared" si="1"/>
        <v>14348695000</v>
      </c>
      <c r="I23" s="61">
        <f>MEDIAN(I2:I21)</f>
        <v>15484015802.059799</v>
      </c>
      <c r="J23" s="61">
        <f t="shared" si="1"/>
        <v>26338937700.299149</v>
      </c>
      <c r="K23" s="61">
        <f t="shared" si="1"/>
        <v>44510184250.07415</v>
      </c>
      <c r="L23" s="61">
        <f t="shared" si="1"/>
        <v>37180506286.917953</v>
      </c>
      <c r="M23" s="61">
        <f t="shared" si="1"/>
        <v>19037543248.456551</v>
      </c>
      <c r="N23" s="61">
        <f t="shared" si="1"/>
        <v>30119996294.237049</v>
      </c>
      <c r="O23" s="61">
        <f t="shared" si="1"/>
        <v>35482068213.695297</v>
      </c>
      <c r="P23" s="61">
        <f t="shared" si="1"/>
        <v>28470174166.043198</v>
      </c>
      <c r="Q23" s="61">
        <f t="shared" si="1"/>
        <v>41258366722.777451</v>
      </c>
      <c r="R23" s="61">
        <f t="shared" si="1"/>
        <v>23576036029.756699</v>
      </c>
      <c r="S23" s="61">
        <f t="shared" si="1"/>
        <v>39537676846.470451</v>
      </c>
      <c r="T23" s="61">
        <f t="shared" si="1"/>
        <v>36550686504.804253</v>
      </c>
      <c r="U23" s="61">
        <f t="shared" si="1"/>
        <v>30835788987.5</v>
      </c>
      <c r="V23" s="61">
        <f t="shared" si="1"/>
        <v>31573277804.4259</v>
      </c>
      <c r="W23" s="61">
        <f t="shared" si="1"/>
        <v>37252839980.302444</v>
      </c>
      <c r="X23" s="61">
        <f>MEDIAN(X2:X21)</f>
        <v>24245920857.882652</v>
      </c>
      <c r="Y23" s="61">
        <f t="shared" si="1"/>
        <v>37827205599.446251</v>
      </c>
      <c r="Z23" s="61">
        <f t="shared" si="1"/>
        <v>49609546784.349396</v>
      </c>
    </row>
    <row r="24" spans="1:26" x14ac:dyDescent="0.55000000000000004">
      <c r="A24" s="52"/>
      <c r="B24" s="53"/>
      <c r="C24" s="58" t="s">
        <v>83</v>
      </c>
      <c r="D24" s="62">
        <f>_xlfn.VAR.P(D2:D21)</f>
        <v>2.4236091899306354E+22</v>
      </c>
      <c r="E24" s="62">
        <f>_xlfn.VAR.P(E2:E21)</f>
        <v>6.9285641916783715E+21</v>
      </c>
      <c r="F24" s="62">
        <f>_xlfn.VAR.P(F2:F21)</f>
        <v>4.3841531918506436E+21</v>
      </c>
      <c r="G24" s="62">
        <f>_xlfn.VAR.P(G2:G21)</f>
        <v>4.3390048842722034E+21</v>
      </c>
      <c r="H24" s="62">
        <f>_xlfn.VAR.P(H2:H21)</f>
        <v>6.2551324393842871E+21</v>
      </c>
      <c r="I24" s="62">
        <f>_xlfn.VAR.P(I2:I21)</f>
        <v>2.6390992159490187E+22</v>
      </c>
      <c r="J24" s="62">
        <f>_xlfn.VAR.P(J2:J21)</f>
        <v>4.0150372613987703E+22</v>
      </c>
      <c r="K24" s="62">
        <f>_xlfn.VAR.P(K2:K21)</f>
        <v>1.0102152525694203E+23</v>
      </c>
      <c r="L24" s="62">
        <f>_xlfn.VAR.P(L2:L21)</f>
        <v>3.5167866049734491E+22</v>
      </c>
      <c r="M24" s="62">
        <f>_xlfn.VAR.P(M2:M21)</f>
        <v>1.1102315917597171E+22</v>
      </c>
      <c r="N24" s="62">
        <f>_xlfn.VAR.P(N2:N21)</f>
        <v>1.6266250496017793E+22</v>
      </c>
      <c r="O24" s="62">
        <f>_xlfn.VAR.P(O2:O21)</f>
        <v>3.7574274853038843E+22</v>
      </c>
      <c r="P24" s="62">
        <f>_xlfn.VAR.P(P2:P21)</f>
        <v>1.7214919786917913E+22</v>
      </c>
      <c r="Q24" s="62">
        <f>_xlfn.VAR.P(Q2:Q21)</f>
        <v>2.0929412421760481E+22</v>
      </c>
      <c r="R24" s="62">
        <f>_xlfn.VAR.P(R2:R21)</f>
        <v>1.2173758745487593E+22</v>
      </c>
      <c r="S24" s="62">
        <f>_xlfn.VAR.P(S2:S21)</f>
        <v>3.9923157637870144E+22</v>
      </c>
      <c r="T24" s="62">
        <f>_xlfn.VAR.P(T2:T21)</f>
        <v>3.3295137985709426E+22</v>
      </c>
      <c r="U24" s="62">
        <f>_xlfn.VAR.P(U2:U21)</f>
        <v>1.7636962808324952E+22</v>
      </c>
      <c r="V24" s="62">
        <f>_xlfn.VAR.P(V2:V21)</f>
        <v>5.4908839663230916E+21</v>
      </c>
      <c r="W24" s="62">
        <f>_xlfn.VAR.P(W2:W21)</f>
        <v>1.4802982640065511E+22</v>
      </c>
      <c r="X24" s="62">
        <f>_xlfn.VAR.P(X2:X21)</f>
        <v>6.2676159172828337E+21</v>
      </c>
      <c r="Y24" s="62">
        <f>_xlfn.VAR.P(Y2:Y21)</f>
        <v>2.4879486547477825E+22</v>
      </c>
      <c r="Z24" s="62">
        <f>_xlfn.VAR.P(Z2:Z21)</f>
        <v>7.585492169768399E+21</v>
      </c>
    </row>
    <row r="25" spans="1:26" ht="14.7" thickBot="1" x14ac:dyDescent="0.6">
      <c r="A25" s="52"/>
      <c r="B25" s="53"/>
      <c r="C25" s="59" t="s">
        <v>82</v>
      </c>
      <c r="D25" s="63">
        <f>_xlfn.STDEV.P(D2:D21)</f>
        <v>155679452399.17294</v>
      </c>
      <c r="E25" s="63">
        <f>_xlfn.STDEV.P(E2:E21)</f>
        <v>83237997282.961899</v>
      </c>
      <c r="F25" s="63">
        <f>_xlfn.STDEV.P(F2:F21)</f>
        <v>66212938251.150307</v>
      </c>
      <c r="G25" s="63">
        <f>_xlfn.STDEV.P(G2:G21)</f>
        <v>65871123295.964851</v>
      </c>
      <c r="H25" s="63">
        <f>_xlfn.STDEV.P(H2:H21)</f>
        <v>79089395239.717743</v>
      </c>
      <c r="I25" s="63">
        <f>_xlfn.STDEV.P(I2:I21)</f>
        <v>162453046014.81064</v>
      </c>
      <c r="J25" s="63">
        <f>_xlfn.STDEV.P(J2:J21)</f>
        <v>200375578886.21982</v>
      </c>
      <c r="K25" s="63">
        <f>_xlfn.STDEV.P(K2:K21)</f>
        <v>317838835350.4682</v>
      </c>
      <c r="L25" s="63">
        <f>_xlfn.STDEV.P(L2:L21)</f>
        <v>187530973574.32584</v>
      </c>
      <c r="M25" s="63">
        <f>_xlfn.STDEV.P(M2:M21)</f>
        <v>105367527813.82494</v>
      </c>
      <c r="N25" s="63">
        <f>_xlfn.STDEV.P(N2:N21)</f>
        <v>127539211601.83559</v>
      </c>
      <c r="O25" s="63">
        <f>_xlfn.STDEV.P(O2:O21)</f>
        <v>193840849288.89175</v>
      </c>
      <c r="P25" s="63">
        <f>_xlfn.STDEV.P(P2:P21)</f>
        <v>131205639310.65582</v>
      </c>
      <c r="Q25" s="63">
        <f>_xlfn.STDEV.P(Q2:Q21)</f>
        <v>144670012171.70227</v>
      </c>
      <c r="R25" s="63">
        <f>_xlfn.STDEV.P(R2:R21)</f>
        <v>110334757649.10889</v>
      </c>
      <c r="S25" s="63">
        <f>_xlfn.STDEV.P(S2:S21)</f>
        <v>199807801744.25159</v>
      </c>
      <c r="T25" s="63">
        <f>_xlfn.STDEV.P(T2:T21)</f>
        <v>182469553585.54871</v>
      </c>
      <c r="U25" s="63">
        <f>_xlfn.STDEV.P(U2:U21)</f>
        <v>132804227373.69829</v>
      </c>
      <c r="V25" s="63">
        <f>_xlfn.STDEV.P(V2:V21)</f>
        <v>74100499096.31575</v>
      </c>
      <c r="W25" s="63">
        <f>_xlfn.STDEV.P(W2:W21)</f>
        <v>121667508563.56644</v>
      </c>
      <c r="X25" s="63">
        <f>_xlfn.STDEV.P(X2:X21)</f>
        <v>79168275952.44722</v>
      </c>
      <c r="Y25" s="63">
        <f>_xlfn.STDEV.P(Y2:Y21)</f>
        <v>157732325626.28952</v>
      </c>
      <c r="Z25" s="63">
        <f>_xlfn.STDEV.P(Z2:Z21)</f>
        <v>87094731010.36824</v>
      </c>
    </row>
    <row r="26" spans="1:26" ht="14.7" thickBot="1" x14ac:dyDescent="0.6">
      <c r="A26" s="54"/>
      <c r="B26" s="55"/>
      <c r="C26" s="76"/>
      <c r="D26" s="82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</sheetData>
  <sortState ref="D2:D21">
    <sortCondition ref="D2:D2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Sayfa1</vt:lpstr>
      <vt:lpstr>Sayfa2</vt:lpstr>
      <vt:lpstr>Sayfa3</vt:lpstr>
      <vt:lpstr>Sayfa4</vt:lpstr>
      <vt:lpstr>Sayfa5</vt:lpstr>
      <vt:lpstr>Sayfa6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ikbu</dc:creator>
  <cp:lastModifiedBy>dell</cp:lastModifiedBy>
  <dcterms:created xsi:type="dcterms:W3CDTF">2015-06-05T18:19:34Z</dcterms:created>
  <dcterms:modified xsi:type="dcterms:W3CDTF">2025-10-08T02:30:25Z</dcterms:modified>
</cp:coreProperties>
</file>