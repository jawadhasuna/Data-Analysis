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sem 5\stats\a1\"/>
    </mc:Choice>
  </mc:AlternateContent>
  <bookViews>
    <workbookView xWindow="0" yWindow="0" windowWidth="17268" windowHeight="7134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2" i="2" l="1"/>
  <c r="M12" i="2"/>
  <c r="J12" i="2"/>
  <c r="K12" i="2"/>
  <c r="I12" i="2"/>
  <c r="H12" i="2"/>
  <c r="C11" i="2"/>
  <c r="D11" i="2"/>
  <c r="D3" i="2"/>
  <c r="C3" i="2"/>
  <c r="D2" i="2"/>
  <c r="C2" i="2"/>
  <c r="D4" i="2" l="1"/>
  <c r="D5" i="2"/>
  <c r="D6" i="2"/>
  <c r="D7" i="2"/>
  <c r="D8" i="2"/>
  <c r="D9" i="2"/>
  <c r="D10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C24" i="2"/>
  <c r="C20" i="2"/>
  <c r="C7" i="2"/>
  <c r="C4" i="2"/>
  <c r="C5" i="2"/>
  <c r="C6" i="2"/>
  <c r="C8" i="2"/>
  <c r="C9" i="2"/>
  <c r="C10" i="2"/>
  <c r="C12" i="2"/>
  <c r="C13" i="2"/>
  <c r="C14" i="2"/>
  <c r="C15" i="2"/>
  <c r="C16" i="2"/>
  <c r="C17" i="2"/>
  <c r="C18" i="2"/>
  <c r="C19" i="2"/>
  <c r="C21" i="2"/>
  <c r="C22" i="2"/>
  <c r="C23" i="2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</calcChain>
</file>

<file path=xl/sharedStrings.xml><?xml version="1.0" encoding="utf-8"?>
<sst xmlns="http://schemas.openxmlformats.org/spreadsheetml/2006/main" count="27" uniqueCount="20">
  <si>
    <t>Input(P)</t>
  </si>
  <si>
    <t xml:space="preserve">years </t>
  </si>
  <si>
    <t>Foreactsed years</t>
  </si>
  <si>
    <t>Output(1)</t>
  </si>
  <si>
    <t>Output(2)</t>
  </si>
  <si>
    <t>Output(3)</t>
  </si>
  <si>
    <t>Ensemble</t>
  </si>
  <si>
    <t>Models</t>
  </si>
  <si>
    <t>AR</t>
  </si>
  <si>
    <t>PRNN</t>
  </si>
  <si>
    <t>SVM</t>
  </si>
  <si>
    <t>MAE</t>
  </si>
  <si>
    <t>RMSE</t>
  </si>
  <si>
    <t>NMAE</t>
  </si>
  <si>
    <t>Input(y)</t>
  </si>
  <si>
    <t>Output(y')</t>
  </si>
  <si>
    <t>MSE</t>
  </si>
  <si>
    <t>MAPE</t>
  </si>
  <si>
    <t>RSQ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</si>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</sst>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0" xfId="0" applyBorder="1"/>
    <xf numFmtId="0" fontId="0" fillId="0" borderId="15" xfId="0" applyBorder="1"/>
    <xf numFmtId="164" fontId="0" fillId="0" borderId="2" xfId="0" applyNumberFormat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2" fillId="6" borderId="9" xfId="0" applyFont="1" applyFill="1" applyBorder="1"/>
    <xf numFmtId="0" fontId="2" fillId="6" borderId="16" xfId="0" applyFont="1" applyFill="1" applyBorder="1"/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Error Computation</a:t>
            </a:r>
            <a:endParaRPr lang="en-US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Sheet1!$I$2:$I$5</c:f>
              <c:strCache>
                <c:ptCount val="4"/>
                <c:pt idx="0">
                  <c:v>PRNN</c:v>
                </c:pt>
                <c:pt idx="1">
                  <c:v>AR</c:v>
                </c:pt>
                <c:pt idx="2">
                  <c:v>SVM</c:v>
                </c:pt>
                <c:pt idx="3">
                  <c:v>Ensemble</c:v>
                </c:pt>
              </c:strCache>
            </c:strRef>
          </c:cat>
          <c:val>
            <c:numRef>
              <c:f>Sheet1!$J$2:$J$5</c:f>
              <c:numCache>
                <c:formatCode>General</c:formatCode>
                <c:ptCount val="4"/>
                <c:pt idx="0">
                  <c:v>22.3</c:v>
                </c:pt>
                <c:pt idx="1">
                  <c:v>29.3</c:v>
                </c:pt>
                <c:pt idx="2">
                  <c:v>29.43</c:v>
                </c:pt>
                <c:pt idx="3">
                  <c:v>26.4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A-4B62-8E9D-24706AC0ECB0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Sheet1!$I$2:$I$5</c:f>
              <c:strCache>
                <c:ptCount val="4"/>
                <c:pt idx="0">
                  <c:v>PRNN</c:v>
                </c:pt>
                <c:pt idx="1">
                  <c:v>AR</c:v>
                </c:pt>
                <c:pt idx="2">
                  <c:v>SVM</c:v>
                </c:pt>
                <c:pt idx="3">
                  <c:v>Ensemble</c:v>
                </c:pt>
              </c:strCache>
            </c:strRef>
          </c:cat>
          <c:val>
            <c:numRef>
              <c:f>Sheet1!$K$2:$K$5</c:f>
              <c:numCache>
                <c:formatCode>General</c:formatCode>
                <c:ptCount val="4"/>
                <c:pt idx="0">
                  <c:v>24.7</c:v>
                </c:pt>
                <c:pt idx="1">
                  <c:v>32.200000000000003</c:v>
                </c:pt>
                <c:pt idx="2">
                  <c:v>32.06</c:v>
                </c:pt>
                <c:pt idx="3">
                  <c:v>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BA-4B62-8E9D-24706AC0ECB0}"/>
            </c:ext>
          </c:extLst>
        </c:ser>
        <c:ser>
          <c:idx val="2"/>
          <c:order val="2"/>
          <c:tx>
            <c:strRef>
              <c:f>Sheet1!$L$1</c:f>
              <c:strCache>
                <c:ptCount val="1"/>
                <c:pt idx="0">
                  <c:v>NMAE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Sheet1!$I$2:$I$5</c:f>
              <c:strCache>
                <c:ptCount val="4"/>
                <c:pt idx="0">
                  <c:v>PRNN</c:v>
                </c:pt>
                <c:pt idx="1">
                  <c:v>AR</c:v>
                </c:pt>
                <c:pt idx="2">
                  <c:v>SVM</c:v>
                </c:pt>
                <c:pt idx="3">
                  <c:v>Ensemble</c:v>
                </c:pt>
              </c:strCache>
            </c:strRef>
          </c:cat>
          <c:val>
            <c:numRef>
              <c:f>Sheet1!$L$2:$L$5</c:f>
              <c:numCache>
                <c:formatCode>General</c:formatCode>
                <c:ptCount val="4"/>
                <c:pt idx="0">
                  <c:v>0.64168143833881996</c:v>
                </c:pt>
                <c:pt idx="1">
                  <c:v>0.854642498167964</c:v>
                </c:pt>
                <c:pt idx="2">
                  <c:v>0.85723851294526299</c:v>
                </c:pt>
                <c:pt idx="3">
                  <c:v>0.76932709655492004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BA-4B62-8E9D-24706AC0E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9964815"/>
        <c:axId val="1059967727"/>
      </c:barChart>
      <c:catAx>
        <c:axId val="105996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967727"/>
        <c:crosses val="autoZero"/>
        <c:auto val="1"/>
        <c:lblAlgn val="ctr"/>
        <c:lblOffset val="100"/>
        <c:noMultiLvlLbl val="0"/>
      </c:catAx>
      <c:valAx>
        <c:axId val="105996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96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Computation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Sheet2!$H$11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Sheet2!$G$12</c:f>
              <c:strCache>
                <c:ptCount val="1"/>
                <c:pt idx="0">
                  <c:v>PRNN</c:v>
                </c:pt>
              </c:strCache>
            </c:strRef>
          </c:cat>
          <c:val>
            <c:numRef>
              <c:f>Sheet2!$H$12</c:f>
              <c:numCache>
                <c:formatCode>General</c:formatCode>
                <c:ptCount val="1"/>
                <c:pt idx="0">
                  <c:v>1011.2399999999998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C-433A-A974-A77DA10E1CBE}"/>
            </c:ext>
          </c:extLst>
        </c:ser>
        <c:ser>
          <c:idx val="1"/>
          <c:order val="1"/>
          <c:tx>
            <c:strRef>
              <c:f>Sheet2!$I$11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Sheet2!$G$12</c:f>
              <c:strCache>
                <c:ptCount val="1"/>
                <c:pt idx="0">
                  <c:v>PRNN</c:v>
                </c:pt>
              </c:strCache>
            </c:strRef>
          </c:cat>
          <c:val>
            <c:numRef>
              <c:f>Sheet2!$I$12</c:f>
              <c:numCache>
                <c:formatCode>General</c:formatCode>
                <c:ptCount val="1"/>
                <c:pt idx="0">
                  <c:v>31.799999999999997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6C-433A-A974-A77DA10E1CBE}"/>
            </c:ext>
          </c:extLst>
        </c:ser>
        <c:ser>
          <c:idx val="2"/>
          <c:order val="2"/>
          <c:tx>
            <c:strRef>
              <c:f>Sheet2!$J$11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Sheet2!$G$12</c:f>
              <c:strCache>
                <c:ptCount val="1"/>
                <c:pt idx="0">
                  <c:v>PRNN</c:v>
                </c:pt>
              </c:strCache>
            </c:strRef>
          </c:cat>
          <c:val>
            <c:numRef>
              <c:f>Sheet2!$J$12</c:f>
              <c:numCache>
                <c:formatCode>General</c:formatCode>
                <c:ptCount val="1"/>
                <c:pt idx="0">
                  <c:v>31.799999999999997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6C-433A-A974-A77DA10E1CBE}"/>
            </c:ext>
          </c:extLst>
        </c:ser>
        <c:ser>
          <c:idx val="3"/>
          <c:order val="3"/>
          <c:tx>
            <c:strRef>
              <c:f>Sheet2!$K$11</c:f>
              <c:strCache>
                <c:ptCount val="1"/>
                <c:pt idx="0">
                  <c:v>RSQ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Sheet2!$G$12</c:f>
              <c:strCache>
                <c:ptCount val="1"/>
                <c:pt idx="0">
                  <c:v>PRNN</c:v>
                </c:pt>
              </c:strCache>
            </c:strRef>
          </c:cat>
          <c:val>
            <c:numRef>
              <c:f>Sheet2!$K$12</c:f>
              <c:numCache>
                <c:formatCode>General</c:formatCode>
                <c:ptCount val="1"/>
                <c:pt idx="0">
                  <c:v>2.5162647937118414E-2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6C-433A-A974-A77DA10E1CBE}"/>
            </c:ext>
          </c:extLst>
        </c:ser>
        <c:ser>
          <c:idx val="4"/>
          <c:order val="4"/>
          <c:tx>
            <c:strRef>
              <c:f>Sheet2!$L$11</c:f>
              <c:strCache>
                <c:ptCount val="1"/>
                <c:pt idx="0">
                  <c:v>MAPE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Sheet2!$G$12</c:f>
              <c:strCache>
                <c:ptCount val="1"/>
                <c:pt idx="0">
                  <c:v>PRNN</c:v>
                </c:pt>
              </c:strCache>
            </c:strRef>
          </c:cat>
          <c:val>
            <c:numRef>
              <c:f>Sheet2!$L$12</c:f>
              <c:numCache>
                <c:formatCode>General</c:formatCode>
                <c:ptCount val="1"/>
                <c:pt idx="0">
                  <c:v>86.41304347826086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6C-433A-A974-A77DA10E1CBE}"/>
            </c:ext>
          </c:extLst>
        </c:ser>
        <c:ser>
          <c:idx val="5"/>
          <c:order val="5"/>
          <c:tx>
            <c:strRef>
              <c:f>Sheet2!$M$11</c:f>
              <c:strCache>
                <c:ptCount val="1"/>
                <c:pt idx="0">
                  <c:v>NMAE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Sheet2!$G$12</c:f>
              <c:strCache>
                <c:ptCount val="1"/>
                <c:pt idx="0">
                  <c:v>PRNN</c:v>
                </c:pt>
              </c:strCache>
            </c:strRef>
          </c:cat>
          <c:val>
            <c:numRef>
              <c:f>Sheet2!$M$12</c:f>
              <c:numCache>
                <c:formatCode>General</c:formatCode>
                <c:ptCount val="1"/>
                <c:pt idx="0">
                  <c:v>92.605722967839981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6C-433A-A974-A77DA10E1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838351"/>
        <c:axId val="1419838767"/>
      </c:barChart>
      <c:catAx>
        <c:axId val="141983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38767"/>
        <c:crosses val="autoZero"/>
        <c:auto val="1"/>
        <c:lblAlgn val="ctr"/>
        <c:lblOffset val="100"/>
        <c:noMultiLvlLbl val="0"/>
      </c:catAx>
      <c:valAx>
        <c:axId val="141983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83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624840</xdr:colOff>
      <xdr:row>6</xdr:row>
      <xdr:rowOff>179070</xdr:rowOff>
    </xdr:from>
    <xdr:to>
      <xdr:col>15</xdr:col>
      <xdr:colOff>632460</xdr:colOff>
      <xdr:row>25</xdr:row>
      <xdr:rowOff>17145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468630</xdr:colOff>
      <xdr:row>13</xdr:row>
      <xdr:rowOff>180975</xdr:rowOff>
    </xdr:from>
    <xdr:to>
      <xdr:col>13</xdr:col>
      <xdr:colOff>560070</xdr:colOff>
      <xdr:row>28</xdr:row>
      <xdr:rowOff>139065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>
      <selection activeCell="P5" sqref="P5"/>
    </sheetView>
  </sheetViews>
  <sheetFormatPr defaultRowHeight="14.4" x14ac:dyDescent="0.55000000000000004"/>
  <cols>
    <col min="3" max="3" width="15.578125" customWidth="1"/>
    <col min="5" max="5" width="9.41796875" customWidth="1"/>
    <col min="6" max="6" width="9.578125" bestFit="1" customWidth="1"/>
  </cols>
  <sheetData>
    <row r="1" spans="1:12" x14ac:dyDescent="0.55000000000000004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4" t="s">
        <v>7</v>
      </c>
      <c r="J1" s="5" t="s">
        <v>11</v>
      </c>
      <c r="K1" s="6" t="s">
        <v>12</v>
      </c>
      <c r="L1" s="7" t="s">
        <v>13</v>
      </c>
    </row>
    <row r="2" spans="1:12" x14ac:dyDescent="0.55000000000000004">
      <c r="A2" s="1">
        <v>2000</v>
      </c>
      <c r="B2" s="1">
        <v>64.3</v>
      </c>
      <c r="C2" s="1">
        <v>2023</v>
      </c>
      <c r="D2" s="1">
        <v>20</v>
      </c>
      <c r="E2" s="2">
        <v>7.1977025045104703</v>
      </c>
      <c r="F2" s="2">
        <v>6.5484841487527801</v>
      </c>
      <c r="G2" s="3">
        <v>32.06</v>
      </c>
      <c r="I2" s="8" t="s">
        <v>9</v>
      </c>
      <c r="J2" s="8">
        <v>22.3</v>
      </c>
      <c r="K2" s="8">
        <v>24.7</v>
      </c>
      <c r="L2" s="8">
        <v>0.64168143833881996</v>
      </c>
    </row>
    <row r="3" spans="1:12" x14ac:dyDescent="0.55000000000000004">
      <c r="A3" s="1">
        <v>2001</v>
      </c>
      <c r="B3" s="1">
        <v>11.7</v>
      </c>
      <c r="C3" s="1">
        <v>2024</v>
      </c>
      <c r="D3" s="1">
        <v>21</v>
      </c>
      <c r="E3" s="2">
        <v>7.5575876297359903</v>
      </c>
      <c r="F3" s="2">
        <v>3.6584142881630699</v>
      </c>
      <c r="G3" s="3">
        <f t="shared" ref="G3:G24" si="0">AVERAGE(D3,E3,F3)</f>
        <v>10.738667305966354</v>
      </c>
      <c r="I3" s="8" t="s">
        <v>8</v>
      </c>
      <c r="J3" s="8">
        <v>29.3</v>
      </c>
      <c r="K3" s="8">
        <v>32.200000000000003</v>
      </c>
      <c r="L3" s="8">
        <v>0.854642498167964</v>
      </c>
    </row>
    <row r="4" spans="1:12" x14ac:dyDescent="0.55000000000000004">
      <c r="A4" s="1">
        <v>2002</v>
      </c>
      <c r="B4" s="1">
        <v>39.299999999999997</v>
      </c>
      <c r="C4" s="1">
        <v>2025</v>
      </c>
      <c r="D4" s="1">
        <v>9</v>
      </c>
      <c r="E4" s="2">
        <v>3.2389661270297099</v>
      </c>
      <c r="F4" s="2">
        <v>5.1748768005637498</v>
      </c>
      <c r="G4" s="3">
        <f t="shared" si="0"/>
        <v>5.8046143091978193</v>
      </c>
      <c r="I4" s="8" t="s">
        <v>10</v>
      </c>
      <c r="J4" s="8">
        <v>29.43</v>
      </c>
      <c r="K4" s="8">
        <v>32.06</v>
      </c>
      <c r="L4" s="8">
        <v>0.85723851294526299</v>
      </c>
    </row>
    <row r="5" spans="1:12" x14ac:dyDescent="0.55000000000000004">
      <c r="A5" s="1">
        <v>2003</v>
      </c>
      <c r="B5" s="1">
        <v>55.5</v>
      </c>
      <c r="C5" s="1">
        <v>2026</v>
      </c>
      <c r="D5" s="1">
        <v>25</v>
      </c>
      <c r="E5" s="2">
        <v>8.9971281306380906</v>
      </c>
      <c r="F5" s="2">
        <v>6.0649743621902399</v>
      </c>
      <c r="G5" s="3">
        <f t="shared" si="0"/>
        <v>13.35403416427611</v>
      </c>
      <c r="I5" s="8" t="s">
        <v>6</v>
      </c>
      <c r="J5" s="8">
        <v>26.4</v>
      </c>
      <c r="K5" s="8">
        <v>29.4</v>
      </c>
      <c r="L5" s="8">
        <v>0.76932709655492004</v>
      </c>
    </row>
    <row r="6" spans="1:12" x14ac:dyDescent="0.55000000000000004">
      <c r="A6" s="1">
        <v>2004</v>
      </c>
      <c r="B6" s="1">
        <v>51.7</v>
      </c>
      <c r="C6" s="1">
        <v>2027</v>
      </c>
      <c r="D6" s="1">
        <v>19</v>
      </c>
      <c r="E6" s="2">
        <v>6.8378173792849504</v>
      </c>
      <c r="F6" s="2">
        <v>5.8561860452655097</v>
      </c>
      <c r="G6" s="3">
        <f t="shared" si="0"/>
        <v>10.564667808183486</v>
      </c>
    </row>
    <row r="7" spans="1:12" x14ac:dyDescent="0.55000000000000004">
      <c r="A7" s="1">
        <v>2005</v>
      </c>
      <c r="B7" s="1">
        <v>50.4</v>
      </c>
      <c r="C7" s="1">
        <v>2028</v>
      </c>
      <c r="D7" s="1">
        <v>19</v>
      </c>
      <c r="E7" s="2">
        <v>6.8378173792849504</v>
      </c>
      <c r="F7" s="2">
        <v>5.7847584631596796</v>
      </c>
      <c r="G7" s="3">
        <f t="shared" si="0"/>
        <v>10.54085861414821</v>
      </c>
    </row>
    <row r="8" spans="1:12" x14ac:dyDescent="0.55000000000000004">
      <c r="A8" s="1">
        <v>2006</v>
      </c>
      <c r="B8" s="1">
        <v>45.1</v>
      </c>
      <c r="C8" s="1">
        <v>2029</v>
      </c>
      <c r="D8" s="1">
        <v>18</v>
      </c>
      <c r="E8" s="2">
        <v>6.4779322540594197</v>
      </c>
      <c r="F8" s="2">
        <v>5.4935537053436096</v>
      </c>
      <c r="G8" s="3">
        <f t="shared" si="0"/>
        <v>9.990495319801008</v>
      </c>
    </row>
    <row r="9" spans="1:12" x14ac:dyDescent="0.55000000000000004">
      <c r="A9" s="1">
        <v>2007</v>
      </c>
      <c r="B9" s="1">
        <v>44.1</v>
      </c>
      <c r="C9" s="1">
        <v>2030</v>
      </c>
      <c r="D9" s="1">
        <v>14</v>
      </c>
      <c r="E9" s="2">
        <v>5.0383917531573301</v>
      </c>
      <c r="F9" s="2">
        <v>5.4386094114160501</v>
      </c>
      <c r="G9" s="3">
        <f t="shared" si="0"/>
        <v>8.1590003881911262</v>
      </c>
    </row>
    <row r="10" spans="1:12" x14ac:dyDescent="0.55000000000000004">
      <c r="A10" s="1">
        <v>2008</v>
      </c>
      <c r="B10" s="1">
        <v>17.2</v>
      </c>
      <c r="C10" s="1">
        <v>2031</v>
      </c>
      <c r="D10" s="1">
        <v>16</v>
      </c>
      <c r="E10" s="2">
        <v>5.7581620036083798</v>
      </c>
      <c r="F10" s="2">
        <v>3.9606079047646499</v>
      </c>
      <c r="G10" s="3">
        <f t="shared" si="0"/>
        <v>8.5729233027910094</v>
      </c>
    </row>
    <row r="11" spans="1:12" x14ac:dyDescent="0.55000000000000004">
      <c r="A11" s="1">
        <v>2009</v>
      </c>
      <c r="B11" s="1">
        <v>37.799999999999997</v>
      </c>
      <c r="C11" s="1">
        <v>2032</v>
      </c>
      <c r="D11" s="1">
        <v>4</v>
      </c>
      <c r="E11" s="2">
        <v>1.4395405009020901</v>
      </c>
      <c r="F11" s="2">
        <v>5.0924603596724101</v>
      </c>
      <c r="G11" s="3">
        <f t="shared" si="0"/>
        <v>3.5106669535248334</v>
      </c>
    </row>
    <row r="12" spans="1:12" x14ac:dyDescent="0.55000000000000004">
      <c r="A12" s="1">
        <v>2010</v>
      </c>
      <c r="B12" s="1">
        <v>36.799999999999997</v>
      </c>
      <c r="C12" s="1">
        <v>2033</v>
      </c>
      <c r="D12" s="1">
        <v>5</v>
      </c>
      <c r="E12" s="2">
        <v>1.79942562612762</v>
      </c>
      <c r="F12" s="2">
        <v>5.0375160657448497</v>
      </c>
      <c r="G12" s="3">
        <f t="shared" si="0"/>
        <v>3.9456472306241568</v>
      </c>
    </row>
    <row r="13" spans="1:12" x14ac:dyDescent="0.55000000000000004">
      <c r="A13" s="1">
        <v>2011</v>
      </c>
      <c r="B13" s="1">
        <v>36.299999999999997</v>
      </c>
      <c r="C13" s="1">
        <v>2034</v>
      </c>
      <c r="D13" s="1">
        <v>10</v>
      </c>
      <c r="E13" s="2">
        <v>3.5988512522552298</v>
      </c>
      <c r="F13" s="2">
        <v>5.0100439187810704</v>
      </c>
      <c r="G13" s="3">
        <f t="shared" si="0"/>
        <v>6.2029650570121007</v>
      </c>
    </row>
    <row r="14" spans="1:12" x14ac:dyDescent="0.55000000000000004">
      <c r="A14" s="1">
        <v>2012</v>
      </c>
      <c r="B14" s="1">
        <v>35</v>
      </c>
      <c r="C14" s="1">
        <v>2035</v>
      </c>
      <c r="D14" s="1">
        <v>13</v>
      </c>
      <c r="E14" s="2">
        <v>4.6785066279318102</v>
      </c>
      <c r="F14" s="2">
        <v>4.9386163366752402</v>
      </c>
      <c r="G14" s="3">
        <f t="shared" si="0"/>
        <v>7.5390409882023492</v>
      </c>
    </row>
    <row r="15" spans="1:12" x14ac:dyDescent="0.55000000000000004">
      <c r="A15" s="1">
        <v>2013</v>
      </c>
      <c r="B15" s="1">
        <v>29.5</v>
      </c>
      <c r="C15" s="1">
        <v>2036</v>
      </c>
      <c r="D15" s="1">
        <v>23</v>
      </c>
      <c r="E15" s="2">
        <v>8.27735788018704</v>
      </c>
      <c r="F15" s="2">
        <v>4.6364227200736501</v>
      </c>
      <c r="G15" s="3">
        <f t="shared" si="0"/>
        <v>11.971260200086897</v>
      </c>
    </row>
    <row r="16" spans="1:12" x14ac:dyDescent="0.55000000000000004">
      <c r="A16" s="1">
        <v>2014</v>
      </c>
      <c r="B16" s="1">
        <v>38.799999999999997</v>
      </c>
      <c r="C16" s="1">
        <v>2037</v>
      </c>
      <c r="D16" s="1">
        <v>9</v>
      </c>
      <c r="E16" s="2">
        <v>3.2389661270297099</v>
      </c>
      <c r="F16" s="2">
        <v>5.1474046535999696</v>
      </c>
      <c r="G16" s="3">
        <f t="shared" si="0"/>
        <v>5.7954569268765601</v>
      </c>
    </row>
    <row r="17" spans="1:7" x14ac:dyDescent="0.55000000000000004">
      <c r="A17" s="1">
        <v>2015</v>
      </c>
      <c r="B17" s="1">
        <v>24.3</v>
      </c>
      <c r="C17" s="1">
        <v>2038</v>
      </c>
      <c r="D17" s="1">
        <v>12</v>
      </c>
      <c r="E17" s="2">
        <v>4.3186215027062804</v>
      </c>
      <c r="F17" s="2">
        <v>4.3507123916503403</v>
      </c>
      <c r="G17" s="3">
        <f t="shared" si="0"/>
        <v>6.8897779647855399</v>
      </c>
    </row>
    <row r="18" spans="1:7" x14ac:dyDescent="0.55000000000000004">
      <c r="A18" s="1">
        <v>2016</v>
      </c>
      <c r="B18" s="1">
        <v>25</v>
      </c>
      <c r="C18" s="1">
        <v>2039</v>
      </c>
      <c r="D18" s="1">
        <v>1</v>
      </c>
      <c r="E18" s="2">
        <v>0.35988512522552302</v>
      </c>
      <c r="F18" s="2">
        <v>4.3891733973996301</v>
      </c>
      <c r="G18" s="3">
        <f t="shared" si="0"/>
        <v>1.9163528408750512</v>
      </c>
    </row>
    <row r="19" spans="1:7" x14ac:dyDescent="0.55000000000000004">
      <c r="A19" s="1">
        <v>2017</v>
      </c>
      <c r="B19" s="1">
        <v>12.3</v>
      </c>
      <c r="C19" s="1">
        <v>2040</v>
      </c>
      <c r="D19" s="1">
        <v>21</v>
      </c>
      <c r="E19" s="2">
        <v>7.5575876297359903</v>
      </c>
      <c r="F19" s="2">
        <v>3.6913808645196</v>
      </c>
      <c r="G19" s="3">
        <f t="shared" si="0"/>
        <v>10.749656164751864</v>
      </c>
    </row>
    <row r="20" spans="1:7" x14ac:dyDescent="0.55000000000000004">
      <c r="A20" s="1">
        <v>2018</v>
      </c>
      <c r="B20" s="1">
        <v>21.9</v>
      </c>
      <c r="C20" s="1">
        <v>2041</v>
      </c>
      <c r="D20" s="1">
        <v>11</v>
      </c>
      <c r="E20" s="2">
        <v>3.95873637748076</v>
      </c>
      <c r="F20" s="2">
        <v>4.2188460862241897</v>
      </c>
      <c r="G20" s="3">
        <f t="shared" si="0"/>
        <v>6.39252748790165</v>
      </c>
    </row>
    <row r="21" spans="1:7" x14ac:dyDescent="0.55000000000000004">
      <c r="A21" s="1">
        <v>2019</v>
      </c>
      <c r="B21" s="1">
        <v>26.3</v>
      </c>
      <c r="C21" s="1">
        <v>2042</v>
      </c>
      <c r="D21" s="1">
        <v>17</v>
      </c>
      <c r="E21" s="2">
        <v>6.1180471288338998</v>
      </c>
      <c r="F21" s="2">
        <v>4.4606009795054602</v>
      </c>
      <c r="G21" s="3">
        <f t="shared" si="0"/>
        <v>9.1928827027797873</v>
      </c>
    </row>
    <row r="22" spans="1:7" x14ac:dyDescent="0.55000000000000004">
      <c r="A22" s="1">
        <v>2020</v>
      </c>
      <c r="B22" s="1">
        <v>39.299999999999997</v>
      </c>
      <c r="C22" s="1">
        <v>2043</v>
      </c>
      <c r="D22" s="1">
        <v>9</v>
      </c>
      <c r="E22" s="2">
        <v>3.2389661270297099</v>
      </c>
      <c r="F22" s="2">
        <v>5.1748768005637498</v>
      </c>
      <c r="G22" s="3">
        <f t="shared" si="0"/>
        <v>5.8046143091978193</v>
      </c>
    </row>
    <row r="23" spans="1:7" x14ac:dyDescent="0.55000000000000004">
      <c r="A23" s="1">
        <v>2021</v>
      </c>
      <c r="B23" s="1">
        <v>22.9</v>
      </c>
      <c r="C23" s="1">
        <v>2044</v>
      </c>
      <c r="D23" s="1">
        <v>11</v>
      </c>
      <c r="E23" s="2">
        <v>3.95873637748076</v>
      </c>
      <c r="F23" s="2">
        <v>4.2737903801517501</v>
      </c>
      <c r="G23" s="3">
        <f t="shared" si="0"/>
        <v>6.4108422525441702</v>
      </c>
    </row>
    <row r="24" spans="1:7" x14ac:dyDescent="0.55000000000000004">
      <c r="A24" s="1">
        <v>2022</v>
      </c>
      <c r="B24" s="1">
        <v>24.3</v>
      </c>
      <c r="C24" s="1">
        <v>2045</v>
      </c>
      <c r="D24" s="1">
        <v>12</v>
      </c>
      <c r="E24" s="2">
        <v>4.3186215027062804</v>
      </c>
      <c r="F24" s="2">
        <v>4.3507123916503403</v>
      </c>
      <c r="G24" s="3">
        <f t="shared" si="0"/>
        <v>6.8897779647855399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topLeftCell="A7" workbookViewId="0">
      <selection activeCell="P17" sqref="P17"/>
    </sheetView>
  </sheetViews>
  <sheetFormatPr defaultRowHeight="14.4" x14ac:dyDescent="0.55000000000000004"/>
  <cols>
    <col min="3" max="3" width="11.5234375" customWidth="1"/>
  </cols>
  <sheetData>
    <row r="1" spans="1:13" ht="14.7" thickBot="1" x14ac:dyDescent="0.6">
      <c r="A1" s="27" t="s">
        <v>14</v>
      </c>
      <c r="B1" s="28" t="s">
        <v>15</v>
      </c>
      <c r="C1" s="21" t="s">
        <v>16</v>
      </c>
      <c r="D1" s="22" t="s">
        <v>12</v>
      </c>
    </row>
    <row r="2" spans="1:13" ht="14.7" thickBot="1" x14ac:dyDescent="0.6">
      <c r="A2" s="23">
        <v>64.3</v>
      </c>
      <c r="B2" s="24">
        <v>20</v>
      </c>
      <c r="C2" s="19">
        <f>AVERAGE((A2-B2)^2)</f>
        <v>1962.4899999999998</v>
      </c>
      <c r="D2" s="20">
        <f>SQRT(C2)</f>
        <v>44.3</v>
      </c>
    </row>
    <row r="3" spans="1:13" ht="14.7" thickBot="1" x14ac:dyDescent="0.6">
      <c r="A3" s="23">
        <v>11.7</v>
      </c>
      <c r="B3" s="24">
        <v>21</v>
      </c>
      <c r="C3" s="18">
        <f>AVERAGE((A3-B3)^2)</f>
        <v>86.490000000000009</v>
      </c>
      <c r="D3" s="17">
        <f>SQRT(C3)</f>
        <v>9.3000000000000007</v>
      </c>
    </row>
    <row r="4" spans="1:13" ht="14.7" thickBot="1" x14ac:dyDescent="0.6">
      <c r="A4" s="23">
        <v>39.299999999999997</v>
      </c>
      <c r="B4" s="24">
        <v>9</v>
      </c>
      <c r="C4" s="18">
        <f t="shared" ref="C4:C23" si="0">AVERAGE((A4-B4)^2)</f>
        <v>918.0899999999998</v>
      </c>
      <c r="D4" s="17">
        <f t="shared" ref="D3:D24" si="1">SQRT(C4)</f>
        <v>30.299999999999997</v>
      </c>
      <c r="J4" s="9"/>
      <c r="K4" s="9"/>
      <c r="L4" s="9"/>
      <c r="M4" s="9"/>
    </row>
    <row r="5" spans="1:13" ht="14.7" thickBot="1" x14ac:dyDescent="0.6">
      <c r="A5" s="23">
        <v>55.5</v>
      </c>
      <c r="B5" s="24">
        <v>25</v>
      </c>
      <c r="C5" s="18">
        <f t="shared" si="0"/>
        <v>930.25</v>
      </c>
      <c r="D5" s="17">
        <f t="shared" si="1"/>
        <v>30.5</v>
      </c>
      <c r="J5" s="8"/>
      <c r="K5" s="8"/>
      <c r="L5" s="8"/>
      <c r="M5" s="8"/>
    </row>
    <row r="6" spans="1:13" ht="14.7" thickBot="1" x14ac:dyDescent="0.6">
      <c r="A6" s="23">
        <v>51.7</v>
      </c>
      <c r="B6" s="24">
        <v>19</v>
      </c>
      <c r="C6" s="18">
        <f t="shared" si="0"/>
        <v>1069.2900000000002</v>
      </c>
      <c r="D6" s="17">
        <f t="shared" si="1"/>
        <v>32.700000000000003</v>
      </c>
      <c r="J6" s="8"/>
      <c r="K6" s="8"/>
      <c r="L6" s="8"/>
      <c r="M6" s="8"/>
    </row>
    <row r="7" spans="1:13" ht="14.7" thickBot="1" x14ac:dyDescent="0.6">
      <c r="A7" s="23">
        <v>50.4</v>
      </c>
      <c r="B7" s="24">
        <v>19</v>
      </c>
      <c r="C7" s="18">
        <f>AVERAGE((A7-B7)^2)</f>
        <v>985.95999999999992</v>
      </c>
      <c r="D7" s="17">
        <f t="shared" si="1"/>
        <v>31.4</v>
      </c>
    </row>
    <row r="8" spans="1:13" ht="14.7" thickBot="1" x14ac:dyDescent="0.6">
      <c r="A8" s="23">
        <v>45.1</v>
      </c>
      <c r="B8" s="24">
        <v>18</v>
      </c>
      <c r="C8" s="18">
        <f t="shared" si="0"/>
        <v>734.41000000000008</v>
      </c>
      <c r="D8" s="17">
        <f t="shared" si="1"/>
        <v>27.1</v>
      </c>
    </row>
    <row r="9" spans="1:13" ht="14.7" thickBot="1" x14ac:dyDescent="0.6">
      <c r="A9" s="23">
        <v>44.1</v>
      </c>
      <c r="B9" s="24">
        <v>14</v>
      </c>
      <c r="C9" s="18">
        <f t="shared" si="0"/>
        <v>906.0100000000001</v>
      </c>
      <c r="D9" s="17">
        <f t="shared" si="1"/>
        <v>30.1</v>
      </c>
    </row>
    <row r="10" spans="1:13" ht="14.7" thickBot="1" x14ac:dyDescent="0.6">
      <c r="A10" s="23">
        <v>17.2</v>
      </c>
      <c r="B10" s="24">
        <v>16</v>
      </c>
      <c r="C10" s="18">
        <f t="shared" si="0"/>
        <v>1.4399999999999984</v>
      </c>
      <c r="D10" s="17">
        <f t="shared" si="1"/>
        <v>1.1999999999999993</v>
      </c>
    </row>
    <row r="11" spans="1:13" ht="14.7" thickBot="1" x14ac:dyDescent="0.6">
      <c r="A11" s="23">
        <v>37.799999999999997</v>
      </c>
      <c r="B11" s="24">
        <v>4</v>
      </c>
      <c r="C11" s="18">
        <f>AVERAGE((A11-B11)^2)</f>
        <v>1142.4399999999998</v>
      </c>
      <c r="D11" s="17">
        <f>SQRT(C11)</f>
        <v>33.799999999999997</v>
      </c>
      <c r="G11" s="10" t="s">
        <v>19</v>
      </c>
      <c r="H11" s="11" t="s">
        <v>16</v>
      </c>
      <c r="I11" s="12" t="s">
        <v>12</v>
      </c>
      <c r="J11" s="13" t="s">
        <v>11</v>
      </c>
      <c r="K11" s="12" t="s">
        <v>18</v>
      </c>
      <c r="L11" s="13" t="s">
        <v>17</v>
      </c>
      <c r="M11" s="29" t="s">
        <v>13</v>
      </c>
    </row>
    <row r="12" spans="1:13" ht="14.7" thickBot="1" x14ac:dyDescent="0.6">
      <c r="A12" s="23">
        <v>36.799999999999997</v>
      </c>
      <c r="B12" s="24">
        <v>5</v>
      </c>
      <c r="C12" s="18">
        <f t="shared" si="0"/>
        <v>1011.2399999999998</v>
      </c>
      <c r="D12" s="17">
        <f t="shared" si="1"/>
        <v>31.799999999999997</v>
      </c>
      <c r="G12" s="14" t="s">
        <v>9</v>
      </c>
      <c r="H12" s="15">
        <f>AVERAGE((A2:A24-B2:B24)^2)</f>
        <v>1011.2399999999998</v>
      </c>
      <c r="I12" s="15">
        <f>SQRT(H12)</f>
        <v>31.799999999999997</v>
      </c>
      <c r="J12" s="16">
        <f>AVERAGE(ABS(A2:A24-B2:B24))</f>
        <v>31.799999999999997</v>
      </c>
      <c r="K12" s="15">
        <f>RSQ(A2:A24,B2:B24)</f>
        <v>2.5162647937118414E-2</v>
      </c>
      <c r="L12" s="16">
        <f>AVERAGE(ABS((A2:A24-B2:B24)/(A2:A24)))*100</f>
        <v>86.41304347826086</v>
      </c>
      <c r="M12" s="16">
        <f>(J12/AVERAGE(A2:A24))*100</f>
        <v>92.605722967839981</v>
      </c>
    </row>
    <row r="13" spans="1:13" ht="14.7" thickBot="1" x14ac:dyDescent="0.6">
      <c r="A13" s="23">
        <v>36.299999999999997</v>
      </c>
      <c r="B13" s="24">
        <v>10</v>
      </c>
      <c r="C13" s="18">
        <f t="shared" si="0"/>
        <v>691.68999999999983</v>
      </c>
      <c r="D13" s="17">
        <f t="shared" si="1"/>
        <v>26.299999999999997</v>
      </c>
    </row>
    <row r="14" spans="1:13" ht="14.7" thickBot="1" x14ac:dyDescent="0.6">
      <c r="A14" s="23">
        <v>35</v>
      </c>
      <c r="B14" s="24">
        <v>13</v>
      </c>
      <c r="C14" s="18">
        <f t="shared" si="0"/>
        <v>484</v>
      </c>
      <c r="D14" s="17">
        <f t="shared" si="1"/>
        <v>22</v>
      </c>
    </row>
    <row r="15" spans="1:13" ht="14.7" thickBot="1" x14ac:dyDescent="0.6">
      <c r="A15" s="23">
        <v>29.5</v>
      </c>
      <c r="B15" s="24">
        <v>23</v>
      </c>
      <c r="C15" s="18">
        <f t="shared" si="0"/>
        <v>42.25</v>
      </c>
      <c r="D15" s="17">
        <f t="shared" si="1"/>
        <v>6.5</v>
      </c>
    </row>
    <row r="16" spans="1:13" ht="14.7" thickBot="1" x14ac:dyDescent="0.6">
      <c r="A16" s="23">
        <v>38.799999999999997</v>
      </c>
      <c r="B16" s="24">
        <v>9</v>
      </c>
      <c r="C16" s="18">
        <f t="shared" si="0"/>
        <v>888.03999999999985</v>
      </c>
      <c r="D16" s="17">
        <f t="shared" si="1"/>
        <v>29.799999999999997</v>
      </c>
    </row>
    <row r="17" spans="1:4" ht="14.7" thickBot="1" x14ac:dyDescent="0.6">
      <c r="A17" s="23">
        <v>24.3</v>
      </c>
      <c r="B17" s="24">
        <v>12</v>
      </c>
      <c r="C17" s="18">
        <f t="shared" si="0"/>
        <v>151.29000000000002</v>
      </c>
      <c r="D17" s="17">
        <f t="shared" si="1"/>
        <v>12.3</v>
      </c>
    </row>
    <row r="18" spans="1:4" ht="14.7" thickBot="1" x14ac:dyDescent="0.6">
      <c r="A18" s="23">
        <v>25</v>
      </c>
      <c r="B18" s="24">
        <v>1</v>
      </c>
      <c r="C18" s="18">
        <f t="shared" si="0"/>
        <v>576</v>
      </c>
      <c r="D18" s="17">
        <f t="shared" si="1"/>
        <v>24</v>
      </c>
    </row>
    <row r="19" spans="1:4" ht="14.7" thickBot="1" x14ac:dyDescent="0.6">
      <c r="A19" s="23">
        <v>12.3</v>
      </c>
      <c r="B19" s="24">
        <v>21</v>
      </c>
      <c r="C19" s="18">
        <f t="shared" si="0"/>
        <v>75.689999999999984</v>
      </c>
      <c r="D19" s="17">
        <f t="shared" si="1"/>
        <v>8.6999999999999993</v>
      </c>
    </row>
    <row r="20" spans="1:4" ht="14.7" thickBot="1" x14ac:dyDescent="0.6">
      <c r="A20" s="23">
        <v>21.9</v>
      </c>
      <c r="B20" s="24">
        <v>11</v>
      </c>
      <c r="C20" s="18">
        <f>AVERAGE((A20-B20)^2)</f>
        <v>118.80999999999997</v>
      </c>
      <c r="D20" s="17">
        <f t="shared" si="1"/>
        <v>10.899999999999999</v>
      </c>
    </row>
    <row r="21" spans="1:4" ht="14.7" thickBot="1" x14ac:dyDescent="0.6">
      <c r="A21" s="23">
        <v>26.3</v>
      </c>
      <c r="B21" s="24">
        <v>17</v>
      </c>
      <c r="C21" s="18">
        <f t="shared" si="0"/>
        <v>86.490000000000009</v>
      </c>
      <c r="D21" s="17">
        <f t="shared" si="1"/>
        <v>9.3000000000000007</v>
      </c>
    </row>
    <row r="22" spans="1:4" ht="14.7" thickBot="1" x14ac:dyDescent="0.6">
      <c r="A22" s="23">
        <v>39.299999999999997</v>
      </c>
      <c r="B22" s="24">
        <v>9</v>
      </c>
      <c r="C22" s="18">
        <f t="shared" si="0"/>
        <v>918.0899999999998</v>
      </c>
      <c r="D22" s="17">
        <f t="shared" si="1"/>
        <v>30.299999999999997</v>
      </c>
    </row>
    <row r="23" spans="1:4" ht="14.7" thickBot="1" x14ac:dyDescent="0.6">
      <c r="A23" s="23">
        <v>22.9</v>
      </c>
      <c r="B23" s="24">
        <v>11</v>
      </c>
      <c r="C23" s="18">
        <f t="shared" si="0"/>
        <v>141.60999999999996</v>
      </c>
      <c r="D23" s="17">
        <f t="shared" si="1"/>
        <v>11.899999999999999</v>
      </c>
    </row>
    <row r="24" spans="1:4" ht="14.7" thickBot="1" x14ac:dyDescent="0.6">
      <c r="A24" s="25">
        <v>24.3</v>
      </c>
      <c r="B24" s="26">
        <v>12</v>
      </c>
      <c r="C24" s="18">
        <f>AVERAGE((A24-B24)^2)</f>
        <v>151.29000000000002</v>
      </c>
      <c r="D24" s="17">
        <f t="shared" si="1"/>
        <v>12.3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mrlaptop</dc:creator>
  <cp:lastModifiedBy>dell</cp:lastModifiedBy>
  <dcterms:created xsi:type="dcterms:W3CDTF">2024-03-08T17:15:35Z</dcterms:created>
  <dcterms:modified xsi:type="dcterms:W3CDTF">2025-10-08T04:04:42Z</dcterms:modified>
</cp:coreProperties>
</file>